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ebbb93f357813a/10_Works/GitHub/Planning_Agent_NDD/artifacts/"/>
    </mc:Choice>
  </mc:AlternateContent>
  <xr:revisionPtr revIDLastSave="2" documentId="11_48F15A9AE718001C485261DF8E8FB60549669966" xr6:coauthVersionLast="47" xr6:coauthVersionMax="47" xr10:uidLastSave="{6272B127-AB3E-4C39-B533-A6B1D499E6D5}"/>
  <bookViews>
    <workbookView xWindow="-120" yWindow="-120" windowWidth="29040" windowHeight="15720" xr2:uid="{00000000-000D-0000-FFFF-FFFF00000000}"/>
  </bookViews>
  <sheets>
    <sheet name="BS" sheetId="1" r:id="rId1"/>
  </sheets>
  <definedNames>
    <definedName name="_xlnm._FilterDatabase" localSheetId="0" hidden="1">BS!$A$5:$R$146</definedName>
    <definedName name="areacheckloa">#REF!,#REF!</definedName>
    <definedName name="areacopycheckloa">#REF!,#REF!</definedName>
    <definedName name="BCGD_BCKT_AV">#REF!,#REF!,#REF!,#REF!,#REF!</definedName>
    <definedName name="BCGD_BCKT_QD_AV">#REF!,#REF!,#REF!,#REF!,#REF!</definedName>
    <definedName name="BCTC">#REF!,#REF!,#REF!,#REF!</definedName>
    <definedName name="equity_dulieugoc">#REF!,#REF!,#REF!,#REF!,#REF!,#REF!,#REF!</definedName>
    <definedName name="FCR_dulieugoc">#REF!,#REF!,#REF!,#REF!,#REF!,#REF!,#REF!</definedName>
    <definedName name="Fixed_asset_Note">#REF!</definedName>
    <definedName name="FreignRisk_dulieugoc">#REF!,#REF!</definedName>
    <definedName name="FSs_Cell_checkbox">#REF!</definedName>
    <definedName name="FSs_chukiGD">#REF!,#REF!,#REF!,#REF!,#REF!,#REF!,#REF!,#REF!,#REF!,#REF!,#REF!,#REF!,#REF!</definedName>
    <definedName name="FSs_hide_1stfiscalyear">#REF!,#REF!,#REF!,#REF!,#REF!,#REF!,#REF!,#REF!,#REF!,#REF!,#REF!,#REF!</definedName>
    <definedName name="infor_BSdate">#REF!</definedName>
    <definedName name="infor_CA">#REF!</definedName>
    <definedName name="Infor_hidedongnam1">#REF!,#REF!,#REF!</definedName>
    <definedName name="Link_BS">BS!$B$3</definedName>
    <definedName name="Note.1">Note_A.1,Note_V.1,Note_QD_A.1,Note_QD_V.1</definedName>
    <definedName name="Note_A.1">#REF!</definedName>
    <definedName name="Note_namdautien.1">#REF!,#REF!,#REF!,#REF!,#REF!,#REF!,#REF!,#REF!</definedName>
    <definedName name="Note_namdautien.3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Note_QD_A.1">#REF!</definedName>
    <definedName name="Note_QD_V.1">#REF!</definedName>
    <definedName name="Note_solieugoc.1">#REF!,#REF!,#REF!,#REF!,#REF!,#REF!,#REF!,#REF!,#REF!,#REF!,#REF!,#REF!,#REF!,#REF!,#REF!,#REF!,#REF!,#REF!,#REF!,#REF!,#REF!,#REF!,#REF!,#REF!,#REF!,#REF!</definedName>
    <definedName name="Note_solieugoc_CBE">#REF! ,#REF! ,#REF! ,#REF!</definedName>
    <definedName name="Note_solieugoc_Equity">#REF!,#REF!,#REF!,#REF!,#REF!,#REF!,#REF!,#REF!,#REF!,#REF!</definedName>
    <definedName name="Note_solieugoc_FA">#REF!,#REF!,#REF!,#REF!,#REF!,#REF!,#REF!,#REF!,#REF!,#REF!,#REF!,#REF!,#REF!,#REF!,#REF!,#REF!,#REF!,#REF!,#REF!,#REF!,#REF!,#REF!,#REF!,#REF!,#REF!,#REF!,#REF!,#REF!</definedName>
    <definedName name="Note_solieugoc_FCR">#REF!,#REF!,#REF!,#REF!,#REF!,#REF!,#REF!,#REF!,#REF!</definedName>
    <definedName name="Note_solieugoc_Loanandtax">#REF!,#REF!,#REF!,#REF!,#REF!</definedName>
    <definedName name="Note_totalcurrenyear.1">#REF!,#REF!,#REF!,#REF!,#REF!,#REF!,#REF!,#REF!</definedName>
    <definedName name="Note_totalcurrenyear.3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Note_V.1">#REF!</definedName>
    <definedName name="NoteII.1">#REF!,#REF!,#REF!,#REF!</definedName>
    <definedName name="NoteII.2">#REF!,#REF!,#REF!,#REF!</definedName>
    <definedName name="Prep_FSs">#REF!</definedName>
    <definedName name="Printarea_Biamucluc">#REF!,#REF!,#REF!,#REF!</definedName>
    <definedName name="Taikhoan">#REF!</definedName>
    <definedName name="TSCD_dulieugoc">#REF!,#REF!,#REF!,#REF!,#REF!,#REF!,#REF!,#REF!,#REF!,#REF!,#REF!,#REF!,#REF!,#REF!</definedName>
    <definedName name="Z_0395AD67_3524_48C8_846A_0961474036B3_.wvu.Cols" localSheetId="0" hidden="1">BS!#REF!</definedName>
    <definedName name="Z_0395AD67_3524_48C8_846A_0961474036B3_.wvu.FilterData" localSheetId="0" hidden="1">BS!$B$3:$R$151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3" i="1" l="1"/>
  <c r="J152" i="1"/>
  <c r="Q146" i="1"/>
  <c r="Q144" i="1"/>
  <c r="Q5" i="1" s="1"/>
  <c r="Q143" i="1"/>
  <c r="Q142" i="1"/>
  <c r="Q140" i="1"/>
  <c r="Q139" i="1"/>
  <c r="Q138" i="1"/>
  <c r="Q137" i="1"/>
  <c r="Q136" i="1"/>
  <c r="Q135" i="1"/>
  <c r="Q134" i="1"/>
  <c r="Q133" i="1"/>
  <c r="L133" i="1"/>
  <c r="K133" i="1"/>
  <c r="J133" i="1"/>
  <c r="Q132" i="1"/>
  <c r="L132" i="1"/>
  <c r="K132" i="1"/>
  <c r="J132" i="1"/>
  <c r="Q131" i="1"/>
  <c r="Q130" i="1"/>
  <c r="Q129" i="1"/>
  <c r="Q128" i="1"/>
  <c r="Q127" i="1"/>
  <c r="Q126" i="1"/>
  <c r="Q125" i="1"/>
  <c r="Q124" i="1"/>
  <c r="Q123" i="1"/>
  <c r="Q121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2" i="1"/>
  <c r="Q81" i="1"/>
  <c r="Q80" i="1"/>
  <c r="Q79" i="1"/>
  <c r="Q78" i="1"/>
  <c r="Q77" i="1"/>
  <c r="Q75" i="1"/>
  <c r="Q74" i="1"/>
  <c r="Q73" i="1"/>
  <c r="Q72" i="1"/>
  <c r="Q71" i="1"/>
  <c r="Q70" i="1"/>
  <c r="Q68" i="1"/>
  <c r="Q67" i="1"/>
  <c r="Q66" i="1"/>
  <c r="Q64" i="1"/>
  <c r="Q63" i="1"/>
  <c r="Q62" i="1"/>
  <c r="Q60" i="1"/>
  <c r="Q59" i="1"/>
  <c r="Q58" i="1"/>
  <c r="Q57" i="1"/>
  <c r="Q56" i="1"/>
  <c r="Q55" i="1"/>
  <c r="Q54" i="1"/>
  <c r="Q53" i="1"/>
  <c r="Q52" i="1"/>
  <c r="Q51" i="1"/>
  <c r="Q49" i="1"/>
  <c r="Q48" i="1"/>
  <c r="Q47" i="1"/>
  <c r="Q46" i="1"/>
  <c r="Q45" i="1"/>
  <c r="Q44" i="1"/>
  <c r="Q43" i="1"/>
  <c r="Q42" i="1"/>
  <c r="Q40" i="1"/>
  <c r="Q38" i="1"/>
  <c r="Q37" i="1"/>
  <c r="Q36" i="1"/>
  <c r="Q35" i="1"/>
  <c r="Q34" i="1"/>
  <c r="Q33" i="1"/>
  <c r="Q31" i="1"/>
  <c r="Q30" i="1"/>
  <c r="Q29" i="1"/>
  <c r="Q27" i="1"/>
  <c r="Q26" i="1"/>
  <c r="Q25" i="1"/>
  <c r="Q24" i="1"/>
  <c r="Q23" i="1"/>
  <c r="Q22" i="1"/>
  <c r="Q21" i="1"/>
  <c r="Q20" i="1"/>
  <c r="Q19" i="1"/>
  <c r="Q17" i="1"/>
  <c r="Q16" i="1"/>
  <c r="Q15" i="1"/>
  <c r="Q14" i="1"/>
  <c r="Q12" i="1"/>
  <c r="Q11" i="1"/>
  <c r="Q10" i="1"/>
  <c r="Q8" i="1"/>
</calcChain>
</file>

<file path=xl/sharedStrings.xml><?xml version="1.0" encoding="utf-8"?>
<sst xmlns="http://schemas.openxmlformats.org/spreadsheetml/2006/main" count="151" uniqueCount="147">
  <si>
    <t>BALANCE SHEET</t>
  </si>
  <si>
    <t>&lt;Click for instruction&gt;</t>
  </si>
  <si>
    <t>Items</t>
  </si>
  <si>
    <t>Code</t>
  </si>
  <si>
    <t>Current year
Unaudited</t>
  </si>
  <si>
    <t>Total ADJ</t>
  </si>
  <si>
    <t>Current year
Audited</t>
  </si>
  <si>
    <t>Previous year
per Audited FSs</t>
  </si>
  <si>
    <t>Restated
of errors</t>
  </si>
  <si>
    <t>Previous year
per Audited FSs
restated</t>
  </si>
  <si>
    <t>Variance</t>
  </si>
  <si>
    <t xml:space="preserve">Format
</t>
  </si>
  <si>
    <t>Previous year Per Client's TB</t>
  </si>
  <si>
    <t>OB 
Checking</t>
  </si>
  <si>
    <t>Current year Per Client's TB</t>
  </si>
  <si>
    <t>EB 
Checking</t>
  </si>
  <si>
    <t>Amount</t>
  </si>
  <si>
    <t>%</t>
  </si>
  <si>
    <t>areas</t>
  </si>
  <si>
    <t>opening balance</t>
  </si>
  <si>
    <t>Stay</t>
  </si>
  <si>
    <t>ASSETS</t>
  </si>
  <si>
    <t>A - SHORT-TERM ASSETS</t>
  </si>
  <si>
    <t>I. Cash and cash equivalents</t>
  </si>
  <si>
    <t>▪ Cash</t>
  </si>
  <si>
    <t>▪ Cash equivalents</t>
  </si>
  <si>
    <t>II. Short-term financial investments</t>
  </si>
  <si>
    <t>▪ Trading securities</t>
  </si>
  <si>
    <t>▪ Provision for devaluation of
  trading securities</t>
  </si>
  <si>
    <t>▪ Investments held to maturity</t>
  </si>
  <si>
    <t>III. Short-term receivables</t>
  </si>
  <si>
    <t>▪ Short-term receivables from customers</t>
  </si>
  <si>
    <t>▪ Short-term advances to suppliers</t>
  </si>
  <si>
    <t>▪ Short-term inter-company receivables</t>
  </si>
  <si>
    <t>▪ Receivables according to the progress of
   construction contracts</t>
  </si>
  <si>
    <t>▪ Short-term loan receivables</t>
  </si>
  <si>
    <t>▪ Other short-term receivables</t>
  </si>
  <si>
    <t>▪ Provision for short-term doubtful debts</t>
  </si>
  <si>
    <t>▪ Shortage of assets awaiting resolution</t>
  </si>
  <si>
    <t>IV. Inventories</t>
  </si>
  <si>
    <t>▪ Inventories</t>
  </si>
  <si>
    <t>▪ Provision for devaluation of inventories</t>
  </si>
  <si>
    <t>V. Other short-term assets</t>
  </si>
  <si>
    <t>▪ Short-term prepaid expenses</t>
  </si>
  <si>
    <t>▪ Deductible VAT</t>
  </si>
  <si>
    <t>▪ Taxes and other receivables from
  the State</t>
  </si>
  <si>
    <t>▪ Purchase and resale of government bonds</t>
  </si>
  <si>
    <t>▪ Other short-term assets</t>
  </si>
  <si>
    <t>B - LONG-TERM ASSETS</t>
  </si>
  <si>
    <t>I. Long-term receivables</t>
  </si>
  <si>
    <t>▪ Long-term receivables from customers</t>
  </si>
  <si>
    <t>▪ Long-term advances to suppliers</t>
  </si>
  <si>
    <t>▪ Working capital provided to subordinate
   units</t>
  </si>
  <si>
    <t>▪ Long-term inter-company receivables</t>
  </si>
  <si>
    <t>▪ Long-term loans receivables</t>
  </si>
  <si>
    <t>▪ Other long-term receivables</t>
  </si>
  <si>
    <t>▪ Provision for long-term doubtful debts</t>
  </si>
  <si>
    <t>II. Fixed assets</t>
  </si>
  <si>
    <t>▪ Tangible fixed assets</t>
  </si>
  <si>
    <t xml:space="preserve"> - Historical cost</t>
  </si>
  <si>
    <t xml:space="preserve"> - Accumulated depreciation</t>
  </si>
  <si>
    <t>▪ Finance leased fixed assets</t>
  </si>
  <si>
    <t>▪ Intangible fixed assets</t>
  </si>
  <si>
    <t xml:space="preserve"> - Accumulated amortisation</t>
  </si>
  <si>
    <t xml:space="preserve">III.  Investment property </t>
  </si>
  <si>
    <t>▪ Historical cost</t>
  </si>
  <si>
    <t>▪ Accumulated depreciation</t>
  </si>
  <si>
    <t xml:space="preserve">IV. Long-term assets in progress </t>
  </si>
  <si>
    <t xml:space="preserve">▪ Long-term work in progress </t>
  </si>
  <si>
    <t>▪ Construction in progress</t>
  </si>
  <si>
    <t xml:space="preserve">V. Long-term financial investments </t>
  </si>
  <si>
    <t>▪ Investments in subsidiaries</t>
  </si>
  <si>
    <t>▪ Investments in associates and 
  joint-ventures</t>
  </si>
  <si>
    <t>▪ Investments in other entities</t>
  </si>
  <si>
    <t>▪ Provision for devaluation of
  long-term investments</t>
  </si>
  <si>
    <t>▪ Long-term investments held to maturity</t>
  </si>
  <si>
    <t>VI. Other non-current assets</t>
  </si>
  <si>
    <t>▪ Long-term prepaid expenses</t>
  </si>
  <si>
    <t>▪ Deferred tax assets</t>
  </si>
  <si>
    <t>▪ Long-term tools, equipment and
   spare parts</t>
  </si>
  <si>
    <t>▪ Other long-term assets</t>
  </si>
  <si>
    <t>▪ Goodwill</t>
  </si>
  <si>
    <t>TOTAL ASSETS (270 = 100 + 200)</t>
  </si>
  <si>
    <t>RESOURCES</t>
  </si>
  <si>
    <t>A.  LIABILITIES (300=310+320)</t>
  </si>
  <si>
    <t>I. Current liabilities</t>
  </si>
  <si>
    <t>▪ Short-term payables to suppliers</t>
  </si>
  <si>
    <t>▪ Short-term advances from customers</t>
  </si>
  <si>
    <t>▪ Taxes and other obligations
   to the State</t>
  </si>
  <si>
    <t>▪ Payables to employees</t>
  </si>
  <si>
    <t>▪ Short-term accrued expenses</t>
  </si>
  <si>
    <t>▪ Short-term inter-company payables</t>
  </si>
  <si>
    <t>▪ Payables according to the progress of
   construction contracts</t>
  </si>
  <si>
    <t>▪ Short-term unearned revenue</t>
  </si>
  <si>
    <t>▪ Other short-term payables</t>
  </si>
  <si>
    <t xml:space="preserve">▪ Short-term loans and finance lease
  liabilities </t>
  </si>
  <si>
    <t>▪ Short-term payable provisions</t>
  </si>
  <si>
    <t>▪ Bonus and welfare fund</t>
  </si>
  <si>
    <t>▪ Price stablisation fund</t>
  </si>
  <si>
    <t xml:space="preserve">▪ Purchase and resale of government bonds </t>
  </si>
  <si>
    <t>II. Non-current liabilities</t>
  </si>
  <si>
    <t>▪ Long-term payables to suppliers</t>
  </si>
  <si>
    <t>▪ Long-term advances from customers</t>
  </si>
  <si>
    <t>▪ Long-term accrued expenses</t>
  </si>
  <si>
    <t xml:space="preserve">▪ Inter-company payables on working 
 capital </t>
  </si>
  <si>
    <t>▪ Long-term inter-company payables</t>
  </si>
  <si>
    <t>▪ Long-term unearned revenue</t>
  </si>
  <si>
    <t>▪ Other long-term payables</t>
  </si>
  <si>
    <t>▪  Long-term loans and finance lease
   liabilities</t>
  </si>
  <si>
    <t>▪ Convertible bonds</t>
  </si>
  <si>
    <t>▪ Redeemable preference shares</t>
  </si>
  <si>
    <t>▪ Deferred tax liabilities</t>
  </si>
  <si>
    <t>▪ Long-term payable provisions</t>
  </si>
  <si>
    <t>▪ Scientific and technological
  development fund</t>
  </si>
  <si>
    <t>OWNERS' EQUITY</t>
  </si>
  <si>
    <t>I. Owners' equity</t>
  </si>
  <si>
    <t>▪ Contributed capital</t>
  </si>
  <si>
    <t xml:space="preserve">  - Common shares embeded 
     the voting right</t>
  </si>
  <si>
    <t>411a</t>
  </si>
  <si>
    <t xml:space="preserve">  - Irredeemable preference shares</t>
  </si>
  <si>
    <t>411b</t>
  </si>
  <si>
    <t>▪ Capital surplus</t>
  </si>
  <si>
    <t>▪ Option to convert bonds</t>
  </si>
  <si>
    <t>▪ Other capital</t>
  </si>
  <si>
    <t>▪ Treasury shares</t>
  </si>
  <si>
    <t>▪ Difference in revaluation of assets</t>
  </si>
  <si>
    <t>▪ Foreign exchange difference</t>
  </si>
  <si>
    <t>▪ Investment and development fund</t>
  </si>
  <si>
    <t>▪ Enterprise restructuring support fund</t>
  </si>
  <si>
    <t>▪ Other equity funds</t>
  </si>
  <si>
    <t>▪ Retained profits/(losses)</t>
  </si>
  <si>
    <t xml:space="preserve">  - Previous years' retained
    profits/(losses)</t>
  </si>
  <si>
    <t>421a</t>
  </si>
  <si>
    <t xml:space="preserve">  - Current year's retained 
    profits/(losses)</t>
  </si>
  <si>
    <t>421b</t>
  </si>
  <si>
    <t>▪ Capital expenditure fund</t>
  </si>
  <si>
    <t>▪ Non-controlling interest</t>
  </si>
  <si>
    <t>II. Other resources and other funds</t>
  </si>
  <si>
    <t>▪ Funding</t>
  </si>
  <si>
    <t xml:space="preserve">▪ Funds that form fixed assets </t>
  </si>
  <si>
    <t>TOTAL RESOURCES (440 = 300+ 400)</t>
  </si>
  <si>
    <t>Note:</t>
  </si>
  <si>
    <t>Checking link BS and PL</t>
  </si>
  <si>
    <t>Impact of adjusted directly to Equity</t>
  </si>
  <si>
    <t>Impact of restated OB</t>
  </si>
  <si>
    <t>Checking (TS = CN + VCSH)</t>
  </si>
  <si>
    <t>Unit: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</si>
</sst>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/mmm/yyyy;@"/>
    <numFmt numFmtId="166" formatCode="_(* #,##0.00_);_(* \(#,##0.00\);_(* &quot;-&quot;_);_(@_)"/>
    <numFmt numFmtId="167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.5"/>
      <name val="Arial"/>
      <family val="2"/>
    </font>
    <font>
      <sz val="9.5"/>
      <color theme="1"/>
      <name val="Arial"/>
      <family val="2"/>
    </font>
    <font>
      <sz val="9.5"/>
      <name val="Arial"/>
      <family val="2"/>
    </font>
    <font>
      <sz val="11"/>
      <color theme="1"/>
      <name val="Times New Roman"/>
      <family val="2"/>
    </font>
    <font>
      <b/>
      <sz val="11"/>
      <name val="Times New Roman"/>
      <family val="1"/>
    </font>
    <font>
      <sz val="11"/>
      <color indexed="8"/>
      <name val="Times New Roman"/>
      <family val="2"/>
    </font>
    <font>
      <sz val="9.5"/>
      <color rgb="FF00B0F0"/>
      <name val="Arial"/>
      <family val="2"/>
    </font>
    <font>
      <i/>
      <u/>
      <sz val="9.5"/>
      <name val="Arial"/>
      <family val="2"/>
    </font>
    <font>
      <sz val="9.5"/>
      <color rgb="FFFF0000"/>
      <name val="Arial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9.5"/>
      <color indexed="10"/>
      <name val="Arial"/>
      <family val="2"/>
    </font>
    <font>
      <b/>
      <sz val="9.5"/>
      <color rgb="FFFF0000"/>
      <name val="Arial"/>
      <family val="2"/>
    </font>
    <font>
      <b/>
      <sz val="11"/>
      <color rgb="FFFF0000"/>
      <name val="Times New Roman"/>
      <family val="1"/>
    </font>
    <font>
      <b/>
      <i/>
      <sz val="9.5"/>
      <name val="Arial"/>
      <family val="2"/>
    </font>
    <font>
      <i/>
      <sz val="9.5"/>
      <name val="Arial"/>
      <family val="2"/>
    </font>
    <font>
      <b/>
      <i/>
      <sz val="9.5"/>
      <color rgb="FFFF0000"/>
      <name val="Arial"/>
      <family val="2"/>
    </font>
    <font>
      <b/>
      <i/>
      <sz val="11"/>
      <name val="Times New Roman"/>
      <family val="1"/>
    </font>
    <font>
      <i/>
      <sz val="9.5"/>
      <color rgb="FFFF0000"/>
      <name val="Arial"/>
      <family val="2"/>
    </font>
    <font>
      <i/>
      <sz val="9.5"/>
      <color theme="1"/>
      <name val="Arial"/>
      <family val="2"/>
    </font>
    <font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sz val="9.5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/>
    <xf numFmtId="165" fontId="2" fillId="0" borderId="0"/>
    <xf numFmtId="9" fontId="6" fillId="0" borderId="0"/>
    <xf numFmtId="43" fontId="6" fillId="0" borderId="0"/>
    <xf numFmtId="165" fontId="6" fillId="0" borderId="0"/>
    <xf numFmtId="43" fontId="8" fillId="0" borderId="0"/>
    <xf numFmtId="167" fontId="1" fillId="0" borderId="0"/>
  </cellStyleXfs>
  <cellXfs count="155">
    <xf numFmtId="0" fontId="0" fillId="0" borderId="0" xfId="0"/>
    <xf numFmtId="0" fontId="3" fillId="0" borderId="0" xfId="2" applyNumberFormat="1" applyFont="1" applyAlignment="1">
      <alignment vertical="top"/>
    </xf>
    <xf numFmtId="164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 wrapText="1"/>
    </xf>
    <xf numFmtId="43" fontId="4" fillId="0" borderId="0" xfId="1" applyFont="1" applyAlignment="1">
      <alignment vertical="top" wrapText="1"/>
    </xf>
    <xf numFmtId="164" fontId="3" fillId="0" borderId="0" xfId="1" applyNumberFormat="1" applyFont="1" applyAlignment="1">
      <alignment horizontal="right" vertical="top"/>
    </xf>
    <xf numFmtId="164" fontId="5" fillId="0" borderId="0" xfId="1" applyNumberFormat="1" applyFont="1" applyAlignment="1">
      <alignment vertical="top"/>
    </xf>
    <xf numFmtId="9" fontId="5" fillId="0" borderId="0" xfId="3" applyFont="1" applyAlignment="1">
      <alignment vertical="top"/>
    </xf>
    <xf numFmtId="165" fontId="5" fillId="0" borderId="0" xfId="2" applyFont="1" applyAlignment="1">
      <alignment horizontal="center" vertical="top"/>
    </xf>
    <xf numFmtId="43" fontId="3" fillId="0" borderId="0" xfId="4" applyFont="1" applyAlignment="1">
      <alignment vertical="top"/>
    </xf>
    <xf numFmtId="43" fontId="7" fillId="0" borderId="0" xfId="4" applyFont="1" applyAlignment="1">
      <alignment vertical="top"/>
    </xf>
    <xf numFmtId="165" fontId="5" fillId="0" borderId="0" xfId="2" applyFont="1" applyAlignment="1">
      <alignment vertical="top"/>
    </xf>
    <xf numFmtId="165" fontId="4" fillId="0" borderId="0" xfId="5" applyFont="1" applyAlignment="1">
      <alignment vertical="top"/>
    </xf>
    <xf numFmtId="0" fontId="5" fillId="0" borderId="0" xfId="6" applyNumberFormat="1" applyFont="1" applyAlignment="1">
      <alignment vertical="top"/>
    </xf>
    <xf numFmtId="0" fontId="5" fillId="0" borderId="0" xfId="2" applyNumberFormat="1" applyFont="1" applyAlignment="1">
      <alignment vertical="top"/>
    </xf>
    <xf numFmtId="164" fontId="5" fillId="0" borderId="0" xfId="1" applyNumberFormat="1" applyFont="1" applyAlignment="1">
      <alignment horizontal="center" vertical="top"/>
    </xf>
    <xf numFmtId="43" fontId="9" fillId="0" borderId="0" xfId="1" applyFont="1" applyAlignment="1">
      <alignment horizontal="right" vertical="top"/>
    </xf>
    <xf numFmtId="164" fontId="5" fillId="0" borderId="0" xfId="1" applyNumberFormat="1" applyFont="1" applyAlignment="1">
      <alignment horizontal="right" vertical="top"/>
    </xf>
    <xf numFmtId="165" fontId="10" fillId="0" borderId="0" xfId="5" applyFont="1" applyAlignment="1">
      <alignment horizontal="right" vertical="top"/>
    </xf>
    <xf numFmtId="43" fontId="5" fillId="0" borderId="0" xfId="4" applyFont="1" applyAlignment="1">
      <alignment vertical="top"/>
    </xf>
    <xf numFmtId="43" fontId="11" fillId="0" borderId="0" xfId="4" applyFont="1" applyAlignment="1">
      <alignment vertical="top"/>
    </xf>
    <xf numFmtId="43" fontId="12" fillId="0" borderId="0" xfId="4" applyFont="1" applyAlignment="1">
      <alignment vertical="top"/>
    </xf>
    <xf numFmtId="43" fontId="13" fillId="0" borderId="0" xfId="4" applyFont="1" applyAlignment="1">
      <alignment vertical="top"/>
    </xf>
    <xf numFmtId="0" fontId="3" fillId="2" borderId="1" xfId="3" applyNumberFormat="1" applyFont="1" applyFill="1" applyBorder="1" applyAlignment="1">
      <alignment horizontal="center" vertical="top" wrapText="1"/>
    </xf>
    <xf numFmtId="0" fontId="14" fillId="0" borderId="0" xfId="2" applyNumberFormat="1" applyFont="1" applyAlignment="1">
      <alignment horizontal="center" vertical="top" wrapText="1"/>
    </xf>
    <xf numFmtId="0" fontId="3" fillId="2" borderId="1" xfId="4" applyNumberFormat="1" applyFont="1" applyFill="1" applyBorder="1" applyAlignment="1">
      <alignment horizontal="right" vertical="top" wrapText="1"/>
    </xf>
    <xf numFmtId="0" fontId="3" fillId="2" borderId="0" xfId="4" applyNumberFormat="1" applyFont="1" applyFill="1" applyAlignment="1">
      <alignment horizontal="right" vertical="top" wrapText="1"/>
    </xf>
    <xf numFmtId="0" fontId="4" fillId="0" borderId="0" xfId="5" applyNumberFormat="1" applyFont="1" applyAlignment="1">
      <alignment vertical="top"/>
    </xf>
    <xf numFmtId="0" fontId="3" fillId="2" borderId="1" xfId="1" applyNumberFormat="1" applyFont="1" applyFill="1" applyBorder="1" applyAlignment="1">
      <alignment horizontal="center" vertical="top" wrapText="1"/>
    </xf>
    <xf numFmtId="0" fontId="5" fillId="0" borderId="3" xfId="6" applyNumberFormat="1" applyFont="1" applyBorder="1" applyAlignment="1">
      <alignment horizontal="center" vertical="top" wrapText="1"/>
    </xf>
    <xf numFmtId="0" fontId="5" fillId="0" borderId="3" xfId="5" applyNumberFormat="1" applyFont="1" applyBorder="1" applyAlignment="1">
      <alignment horizontal="center" vertical="top" wrapText="1"/>
    </xf>
    <xf numFmtId="164" fontId="5" fillId="0" borderId="4" xfId="1" applyNumberFormat="1" applyFont="1" applyBorder="1" applyAlignment="1">
      <alignment horizontal="right" vertical="top" wrapText="1"/>
    </xf>
    <xf numFmtId="164" fontId="5" fillId="0" borderId="3" xfId="1" applyNumberFormat="1" applyFont="1" applyBorder="1" applyAlignment="1">
      <alignment horizontal="right" vertical="top" wrapText="1"/>
    </xf>
    <xf numFmtId="43" fontId="5" fillId="0" borderId="3" xfId="1" applyFont="1" applyBorder="1" applyAlignment="1">
      <alignment horizontal="right" vertical="top" wrapText="1"/>
    </xf>
    <xf numFmtId="9" fontId="5" fillId="0" borderId="3" xfId="3" applyFont="1" applyBorder="1" applyAlignment="1">
      <alignment horizontal="right" vertical="top" wrapText="1"/>
    </xf>
    <xf numFmtId="41" fontId="5" fillId="0" borderId="0" xfId="2" applyNumberFormat="1" applyFont="1" applyAlignment="1">
      <alignment horizontal="center" vertical="top"/>
    </xf>
    <xf numFmtId="43" fontId="5" fillId="0" borderId="3" xfId="4" applyFont="1" applyBorder="1" applyAlignment="1">
      <alignment horizontal="center" vertical="top" wrapText="1"/>
    </xf>
    <xf numFmtId="164" fontId="15" fillId="0" borderId="3" xfId="4" applyNumberFormat="1" applyFont="1" applyBorder="1" applyAlignment="1">
      <alignment horizontal="center" vertical="top" wrapText="1"/>
    </xf>
    <xf numFmtId="164" fontId="15" fillId="0" borderId="0" xfId="4" applyNumberFormat="1" applyFont="1" applyAlignment="1">
      <alignment horizontal="center" vertical="top" wrapText="1"/>
    </xf>
    <xf numFmtId="43" fontId="12" fillId="0" borderId="3" xfId="4" applyFont="1" applyBorder="1" applyAlignment="1">
      <alignment horizontal="center" vertical="top" wrapText="1"/>
    </xf>
    <xf numFmtId="164" fontId="16" fillId="0" borderId="3" xfId="4" applyNumberFormat="1" applyFont="1" applyBorder="1" applyAlignment="1">
      <alignment horizontal="center" vertical="top" wrapText="1"/>
    </xf>
    <xf numFmtId="0" fontId="3" fillId="0" borderId="3" xfId="6" applyNumberFormat="1" applyFont="1" applyBorder="1" applyAlignment="1">
      <alignment horizontal="left" vertical="top" wrapText="1"/>
    </xf>
    <xf numFmtId="166" fontId="5" fillId="0" borderId="4" xfId="1" applyNumberFormat="1" applyFont="1" applyBorder="1" applyAlignment="1">
      <alignment horizontal="right" vertical="top" wrapText="1"/>
    </xf>
    <xf numFmtId="166" fontId="5" fillId="0" borderId="3" xfId="1" applyNumberFormat="1" applyFont="1" applyBorder="1" applyAlignment="1">
      <alignment horizontal="right" vertical="top" wrapText="1"/>
    </xf>
    <xf numFmtId="164" fontId="5" fillId="0" borderId="3" xfId="1" applyNumberFormat="1" applyFont="1" applyBorder="1" applyAlignment="1">
      <alignment horizontal="center" vertical="top" wrapText="1"/>
    </xf>
    <xf numFmtId="164" fontId="11" fillId="0" borderId="3" xfId="1" applyNumberFormat="1" applyFont="1" applyBorder="1" applyAlignment="1">
      <alignment horizontal="center" vertical="top" wrapText="1"/>
    </xf>
    <xf numFmtId="164" fontId="11" fillId="0" borderId="0" xfId="1" applyNumberFormat="1" applyFont="1" applyAlignment="1">
      <alignment horizontal="center" vertical="top" wrapText="1"/>
    </xf>
    <xf numFmtId="164" fontId="12" fillId="0" borderId="3" xfId="7" applyNumberFormat="1" applyFont="1" applyBorder="1" applyAlignment="1">
      <alignment horizontal="right" vertical="top" wrapText="1"/>
    </xf>
    <xf numFmtId="43" fontId="13" fillId="0" borderId="3" xfId="4" applyFont="1" applyBorder="1" applyAlignment="1">
      <alignment horizontal="center" vertical="top" wrapText="1"/>
    </xf>
    <xf numFmtId="0" fontId="3" fillId="0" borderId="3" xfId="6" applyNumberFormat="1" applyFont="1" applyBorder="1" applyAlignment="1">
      <alignment vertical="top" wrapText="1"/>
    </xf>
    <xf numFmtId="0" fontId="3" fillId="0" borderId="3" xfId="5" applyNumberFormat="1" applyFont="1" applyBorder="1" applyAlignment="1">
      <alignment horizontal="center" vertical="top" wrapText="1"/>
    </xf>
    <xf numFmtId="166" fontId="3" fillId="0" borderId="4" xfId="1" applyNumberFormat="1" applyFont="1" applyBorder="1" applyAlignment="1">
      <alignment horizontal="right" vertical="top" wrapText="1"/>
    </xf>
    <xf numFmtId="164" fontId="5" fillId="0" borderId="3" xfId="1" applyNumberFormat="1" applyFont="1" applyBorder="1" applyAlignment="1">
      <alignment vertical="top" wrapText="1"/>
    </xf>
    <xf numFmtId="164" fontId="11" fillId="0" borderId="3" xfId="1" applyNumberFormat="1" applyFont="1" applyBorder="1" applyAlignment="1">
      <alignment vertical="top" wrapText="1"/>
    </xf>
    <xf numFmtId="164" fontId="11" fillId="0" borderId="0" xfId="1" applyNumberFormat="1" applyFont="1" applyAlignment="1">
      <alignment vertical="top" wrapText="1"/>
    </xf>
    <xf numFmtId="43" fontId="13" fillId="0" borderId="3" xfId="4" applyFont="1" applyBorder="1" applyAlignment="1">
      <alignment vertical="top" wrapText="1"/>
    </xf>
    <xf numFmtId="0" fontId="3" fillId="0" borderId="3" xfId="5" applyNumberFormat="1" applyFont="1" applyBorder="1" applyAlignment="1">
      <alignment vertical="top"/>
    </xf>
    <xf numFmtId="164" fontId="3" fillId="0" borderId="4" xfId="1" applyNumberFormat="1" applyFont="1" applyBorder="1" applyAlignment="1">
      <alignment horizontal="right" vertical="top" wrapText="1"/>
    </xf>
    <xf numFmtId="43" fontId="3" fillId="0" borderId="4" xfId="1" applyFont="1" applyBorder="1" applyAlignment="1">
      <alignment horizontal="right" vertical="top" wrapText="1"/>
    </xf>
    <xf numFmtId="9" fontId="5" fillId="0" borderId="3" xfId="3" applyFont="1" applyBorder="1" applyAlignment="1">
      <alignment horizontal="right" vertical="top"/>
    </xf>
    <xf numFmtId="164" fontId="3" fillId="0" borderId="3" xfId="1" applyNumberFormat="1" applyFont="1" applyBorder="1" applyAlignment="1">
      <alignment horizontal="center" vertical="top" wrapText="1"/>
    </xf>
    <xf numFmtId="164" fontId="15" fillId="0" borderId="3" xfId="1" applyNumberFormat="1" applyFont="1" applyBorder="1" applyAlignment="1">
      <alignment horizontal="center" vertical="top" wrapText="1"/>
    </xf>
    <xf numFmtId="164" fontId="15" fillId="0" borderId="0" xfId="1" applyNumberFormat="1" applyFont="1" applyAlignment="1">
      <alignment horizontal="center" vertical="top" wrapText="1"/>
    </xf>
    <xf numFmtId="164" fontId="7" fillId="0" borderId="3" xfId="7" applyNumberFormat="1" applyFont="1" applyBorder="1" applyAlignment="1">
      <alignment horizontal="right" vertical="top" wrapText="1"/>
    </xf>
    <xf numFmtId="164" fontId="3" fillId="0" borderId="3" xfId="1" applyNumberFormat="1" applyFont="1" applyBorder="1" applyAlignment="1">
      <alignment horizontal="right" vertical="top" wrapText="1"/>
    </xf>
    <xf numFmtId="43" fontId="3" fillId="0" borderId="3" xfId="1" applyFont="1" applyBorder="1" applyAlignment="1">
      <alignment horizontal="right" vertical="top" wrapText="1"/>
    </xf>
    <xf numFmtId="9" fontId="3" fillId="0" borderId="3" xfId="3" applyFont="1" applyBorder="1" applyAlignment="1">
      <alignment horizontal="right" vertical="top" wrapText="1"/>
    </xf>
    <xf numFmtId="0" fontId="17" fillId="0" borderId="3" xfId="5" applyNumberFormat="1" applyFont="1" applyBorder="1" applyAlignment="1">
      <alignment vertical="top"/>
    </xf>
    <xf numFmtId="0" fontId="17" fillId="0" borderId="3" xfId="5" applyNumberFormat="1" applyFont="1" applyBorder="1" applyAlignment="1">
      <alignment horizontal="center" vertical="top" wrapText="1"/>
    </xf>
    <xf numFmtId="164" fontId="17" fillId="0" borderId="4" xfId="1" applyNumberFormat="1" applyFont="1" applyBorder="1" applyAlignment="1">
      <alignment horizontal="right" vertical="top" wrapText="1"/>
    </xf>
    <xf numFmtId="43" fontId="17" fillId="0" borderId="4" xfId="1" applyFont="1" applyBorder="1" applyAlignment="1">
      <alignment horizontal="right" vertical="top" wrapText="1"/>
    </xf>
    <xf numFmtId="9" fontId="18" fillId="0" borderId="3" xfId="3" applyFont="1" applyBorder="1" applyAlignment="1">
      <alignment horizontal="right" vertical="top"/>
    </xf>
    <xf numFmtId="165" fontId="18" fillId="0" borderId="0" xfId="2" applyFont="1" applyAlignment="1">
      <alignment horizontal="center" vertical="top"/>
    </xf>
    <xf numFmtId="164" fontId="17" fillId="0" borderId="3" xfId="1" applyNumberFormat="1" applyFont="1" applyBorder="1" applyAlignment="1">
      <alignment horizontal="center" vertical="top" wrapText="1"/>
    </xf>
    <xf numFmtId="164" fontId="19" fillId="0" borderId="3" xfId="1" applyNumberFormat="1" applyFont="1" applyBorder="1" applyAlignment="1">
      <alignment horizontal="center" vertical="top" wrapText="1"/>
    </xf>
    <xf numFmtId="164" fontId="19" fillId="0" borderId="0" xfId="1" applyNumberFormat="1" applyFont="1" applyAlignment="1">
      <alignment horizontal="center" vertical="top" wrapText="1"/>
    </xf>
    <xf numFmtId="164" fontId="20" fillId="0" borderId="3" xfId="7" applyNumberFormat="1" applyFont="1" applyBorder="1" applyAlignment="1">
      <alignment horizontal="right" vertical="top" wrapText="1"/>
    </xf>
    <xf numFmtId="165" fontId="18" fillId="0" borderId="0" xfId="2" applyFont="1" applyAlignment="1">
      <alignment vertical="top"/>
    </xf>
    <xf numFmtId="165" fontId="5" fillId="0" borderId="3" xfId="5" applyFont="1" applyBorder="1" applyAlignment="1">
      <alignment vertical="top"/>
    </xf>
    <xf numFmtId="43" fontId="5" fillId="3" borderId="3" xfId="1" applyFont="1" applyFill="1" applyBorder="1" applyAlignment="1">
      <alignment horizontal="right" vertical="top" wrapText="1"/>
    </xf>
    <xf numFmtId="164" fontId="12" fillId="3" borderId="3" xfId="7" applyNumberFormat="1" applyFont="1" applyFill="1" applyBorder="1" applyAlignment="1">
      <alignment horizontal="right" vertical="top" wrapText="1"/>
    </xf>
    <xf numFmtId="0" fontId="5" fillId="0" borderId="3" xfId="5" applyNumberFormat="1" applyFont="1" applyBorder="1" applyAlignment="1">
      <alignment vertical="top"/>
    </xf>
    <xf numFmtId="43" fontId="5" fillId="0" borderId="4" xfId="1" applyFont="1" applyBorder="1" applyAlignment="1">
      <alignment horizontal="right" vertical="top" wrapText="1"/>
    </xf>
    <xf numFmtId="164" fontId="11" fillId="0" borderId="4" xfId="1" applyNumberFormat="1" applyFont="1" applyBorder="1" applyAlignment="1">
      <alignment horizontal="center" vertical="top" wrapText="1"/>
    </xf>
    <xf numFmtId="167" fontId="20" fillId="0" borderId="3" xfId="7" applyFont="1" applyBorder="1" applyAlignment="1">
      <alignment horizontal="right" vertical="top" wrapText="1"/>
    </xf>
    <xf numFmtId="43" fontId="5" fillId="3" borderId="4" xfId="1" applyFont="1" applyFill="1" applyBorder="1" applyAlignment="1">
      <alignment horizontal="right" vertical="top" wrapText="1"/>
    </xf>
    <xf numFmtId="165" fontId="5" fillId="0" borderId="3" xfId="5" applyFont="1" applyBorder="1" applyAlignment="1">
      <alignment vertical="top" wrapText="1"/>
    </xf>
    <xf numFmtId="165" fontId="11" fillId="0" borderId="0" xfId="2" applyFont="1" applyAlignment="1">
      <alignment vertical="top"/>
    </xf>
    <xf numFmtId="0" fontId="5" fillId="0" borderId="3" xfId="5" applyNumberFormat="1" applyFont="1" applyBorder="1" applyAlignment="1">
      <alignment horizontal="justify" vertical="top" wrapText="1"/>
    </xf>
    <xf numFmtId="164" fontId="5" fillId="0" borderId="0" xfId="2" applyNumberFormat="1" applyFont="1" applyAlignment="1">
      <alignment vertical="top"/>
    </xf>
    <xf numFmtId="0" fontId="3" fillId="0" borderId="3" xfId="5" applyNumberFormat="1" applyFont="1" applyBorder="1" applyAlignment="1">
      <alignment horizontal="justify" vertical="top" wrapText="1"/>
    </xf>
    <xf numFmtId="164" fontId="3" fillId="0" borderId="3" xfId="1" applyNumberFormat="1" applyFont="1" applyBorder="1" applyAlignment="1">
      <alignment vertical="top" wrapText="1"/>
    </xf>
    <xf numFmtId="164" fontId="15" fillId="0" borderId="3" xfId="1" applyNumberFormat="1" applyFont="1" applyBorder="1" applyAlignment="1">
      <alignment vertical="top" wrapText="1"/>
    </xf>
    <xf numFmtId="164" fontId="15" fillId="0" borderId="0" xfId="1" applyNumberFormat="1" applyFont="1" applyAlignment="1">
      <alignment vertical="top" wrapText="1"/>
    </xf>
    <xf numFmtId="9" fontId="5" fillId="0" borderId="5" xfId="3" applyFont="1" applyBorder="1" applyAlignment="1">
      <alignment horizontal="center" vertical="top"/>
    </xf>
    <xf numFmtId="0" fontId="18" fillId="0" borderId="3" xfId="5" applyNumberFormat="1" applyFont="1" applyBorder="1" applyAlignment="1">
      <alignment vertical="top"/>
    </xf>
    <xf numFmtId="0" fontId="18" fillId="0" borderId="3" xfId="5" applyNumberFormat="1" applyFont="1" applyBorder="1" applyAlignment="1">
      <alignment horizontal="center" vertical="top" wrapText="1"/>
    </xf>
    <xf numFmtId="164" fontId="18" fillId="0" borderId="3" xfId="1" applyNumberFormat="1" applyFont="1" applyBorder="1" applyAlignment="1">
      <alignment horizontal="right" vertical="top" wrapText="1"/>
    </xf>
    <xf numFmtId="0" fontId="4" fillId="0" borderId="3" xfId="5" applyNumberFormat="1" applyFont="1" applyBorder="1" applyAlignment="1">
      <alignment horizontal="justify" vertical="top"/>
    </xf>
    <xf numFmtId="0" fontId="4" fillId="0" borderId="3" xfId="5" applyNumberFormat="1" applyFont="1" applyBorder="1" applyAlignment="1">
      <alignment vertical="top"/>
    </xf>
    <xf numFmtId="164" fontId="17" fillId="0" borderId="4" xfId="4" applyNumberFormat="1" applyFont="1" applyBorder="1" applyAlignment="1">
      <alignment horizontal="right" vertical="top" wrapText="1"/>
    </xf>
    <xf numFmtId="164" fontId="19" fillId="0" borderId="4" xfId="1" applyNumberFormat="1" applyFont="1" applyBorder="1" applyAlignment="1">
      <alignment horizontal="center" vertical="top" wrapText="1"/>
    </xf>
    <xf numFmtId="43" fontId="5" fillId="0" borderId="0" xfId="2" applyNumberFormat="1" applyFont="1" applyAlignment="1">
      <alignment vertical="top"/>
    </xf>
    <xf numFmtId="164" fontId="15" fillId="0" borderId="3" xfId="1" applyNumberFormat="1" applyFont="1" applyBorder="1" applyAlignment="1">
      <alignment horizontal="right" vertical="top" wrapText="1"/>
    </xf>
    <xf numFmtId="164" fontId="15" fillId="0" borderId="0" xfId="1" applyNumberFormat="1" applyFont="1" applyAlignment="1">
      <alignment horizontal="right" vertical="top" wrapText="1"/>
    </xf>
    <xf numFmtId="0" fontId="5" fillId="0" borderId="3" xfId="5" applyNumberFormat="1" applyFont="1" applyBorder="1" applyAlignment="1">
      <alignment vertical="top" wrapText="1"/>
    </xf>
    <xf numFmtId="9" fontId="17" fillId="0" borderId="3" xfId="3" applyFont="1" applyBorder="1" applyAlignment="1">
      <alignment horizontal="right" vertical="top"/>
    </xf>
    <xf numFmtId="0" fontId="5" fillId="0" borderId="3" xfId="5" quotePrefix="1" applyNumberFormat="1" applyFont="1" applyBorder="1" applyAlignment="1">
      <alignment horizontal="justify" vertical="top" wrapText="1"/>
    </xf>
    <xf numFmtId="0" fontId="18" fillId="0" borderId="3" xfId="5" applyNumberFormat="1" applyFont="1" applyBorder="1" applyAlignment="1">
      <alignment horizontal="justify" vertical="top" wrapText="1"/>
    </xf>
    <xf numFmtId="43" fontId="18" fillId="3" borderId="4" xfId="1" applyFont="1" applyFill="1" applyBorder="1" applyAlignment="1">
      <alignment horizontal="right" vertical="top" wrapText="1"/>
    </xf>
    <xf numFmtId="164" fontId="21" fillId="0" borderId="4" xfId="1" applyNumberFormat="1" applyFont="1" applyBorder="1" applyAlignment="1">
      <alignment horizontal="center" vertical="top" wrapText="1"/>
    </xf>
    <xf numFmtId="164" fontId="21" fillId="0" borderId="0" xfId="1" applyNumberFormat="1" applyFont="1" applyAlignment="1">
      <alignment horizontal="center" vertical="top" wrapText="1"/>
    </xf>
    <xf numFmtId="165" fontId="22" fillId="0" borderId="0" xfId="5" applyFont="1" applyAlignment="1">
      <alignment vertical="top"/>
    </xf>
    <xf numFmtId="43" fontId="18" fillId="0" borderId="3" xfId="1" applyFont="1" applyBorder="1" applyAlignment="1">
      <alignment horizontal="right" vertical="top" wrapText="1"/>
    </xf>
    <xf numFmtId="0" fontId="3" fillId="0" borderId="2" xfId="5" applyNumberFormat="1" applyFont="1" applyBorder="1" applyAlignment="1">
      <alignment vertical="top"/>
    </xf>
    <xf numFmtId="0" fontId="3" fillId="0" borderId="2" xfId="5" applyNumberFormat="1" applyFont="1" applyBorder="1" applyAlignment="1">
      <alignment horizontal="center" vertical="top" wrapText="1"/>
    </xf>
    <xf numFmtId="164" fontId="3" fillId="0" borderId="6" xfId="1" applyNumberFormat="1" applyFont="1" applyBorder="1" applyAlignment="1">
      <alignment horizontal="right" vertical="top" wrapText="1"/>
    </xf>
    <xf numFmtId="43" fontId="3" fillId="0" borderId="6" xfId="1" applyFont="1" applyBorder="1" applyAlignment="1">
      <alignment horizontal="right" vertical="top" wrapText="1"/>
    </xf>
    <xf numFmtId="9" fontId="3" fillId="0" borderId="2" xfId="3" applyFont="1" applyBorder="1" applyAlignment="1">
      <alignment horizontal="right" vertical="top" wrapText="1"/>
    </xf>
    <xf numFmtId="164" fontId="3" fillId="0" borderId="2" xfId="1" applyNumberFormat="1" applyFont="1" applyBorder="1" applyAlignment="1">
      <alignment horizontal="center" vertical="top" wrapText="1"/>
    </xf>
    <xf numFmtId="164" fontId="15" fillId="0" borderId="2" xfId="1" applyNumberFormat="1" applyFont="1" applyBorder="1" applyAlignment="1">
      <alignment horizontal="center" vertical="top" wrapText="1"/>
    </xf>
    <xf numFmtId="164" fontId="7" fillId="0" borderId="2" xfId="7" applyNumberFormat="1" applyFont="1" applyBorder="1" applyAlignment="1">
      <alignment horizontal="right" vertical="top" wrapText="1"/>
    </xf>
    <xf numFmtId="164" fontId="4" fillId="0" borderId="0" xfId="1" applyNumberFormat="1" applyFont="1" applyAlignment="1">
      <alignment vertical="top"/>
    </xf>
    <xf numFmtId="43" fontId="4" fillId="0" borderId="0" xfId="1" applyFont="1" applyAlignment="1">
      <alignment horizontal="right" vertical="top"/>
    </xf>
    <xf numFmtId="164" fontId="4" fillId="0" borderId="0" xfId="1" applyNumberFormat="1" applyFont="1" applyAlignment="1">
      <alignment horizontal="right" vertical="top"/>
    </xf>
    <xf numFmtId="9" fontId="4" fillId="0" borderId="0" xfId="3" applyFont="1" applyAlignment="1">
      <alignment vertical="top"/>
    </xf>
    <xf numFmtId="165" fontId="4" fillId="0" borderId="0" xfId="5" applyFont="1" applyAlignment="1">
      <alignment horizontal="center" vertical="top"/>
    </xf>
    <xf numFmtId="43" fontId="4" fillId="0" borderId="0" xfId="4" applyFont="1" applyAlignment="1">
      <alignment vertical="top"/>
    </xf>
    <xf numFmtId="43" fontId="23" fillId="0" borderId="0" xfId="4" applyFont="1" applyAlignment="1">
      <alignment vertical="top"/>
    </xf>
    <xf numFmtId="0" fontId="3" fillId="4" borderId="0" xfId="5" applyNumberFormat="1" applyFont="1" applyFill="1" applyAlignment="1">
      <alignment horizontal="left" vertical="top" wrapText="1"/>
    </xf>
    <xf numFmtId="165" fontId="11" fillId="0" borderId="0" xfId="2" applyFont="1" applyAlignment="1">
      <alignment horizontal="center" vertical="top"/>
    </xf>
    <xf numFmtId="0" fontId="11" fillId="0" borderId="0" xfId="4" applyNumberFormat="1" applyFont="1" applyAlignment="1">
      <alignment vertical="top" wrapText="1"/>
    </xf>
    <xf numFmtId="165" fontId="13" fillId="0" borderId="0" xfId="2" applyFont="1" applyAlignment="1">
      <alignment horizontal="center" vertical="top"/>
    </xf>
    <xf numFmtId="0" fontId="21" fillId="0" borderId="0" xfId="5" applyNumberFormat="1" applyFont="1" applyAlignment="1">
      <alignment vertical="top"/>
    </xf>
    <xf numFmtId="43" fontId="21" fillId="0" borderId="0" xfId="1" applyFont="1" applyAlignment="1">
      <alignment vertical="top"/>
    </xf>
    <xf numFmtId="164" fontId="21" fillId="0" borderId="0" xfId="1" applyNumberFormat="1" applyFont="1" applyAlignment="1">
      <alignment vertical="top"/>
    </xf>
    <xf numFmtId="9" fontId="21" fillId="0" borderId="0" xfId="3" applyFont="1" applyAlignment="1">
      <alignment vertical="top"/>
    </xf>
    <xf numFmtId="165" fontId="21" fillId="0" borderId="0" xfId="5" applyFont="1" applyAlignment="1">
      <alignment vertical="top"/>
    </xf>
    <xf numFmtId="43" fontId="21" fillId="0" borderId="0" xfId="4" applyFont="1" applyAlignment="1">
      <alignment vertical="top"/>
    </xf>
    <xf numFmtId="43" fontId="24" fillId="0" borderId="0" xfId="4" applyFont="1" applyAlignment="1">
      <alignment vertical="top"/>
    </xf>
    <xf numFmtId="0" fontId="11" fillId="0" borderId="0" xfId="5" applyNumberFormat="1" applyFont="1" applyAlignment="1">
      <alignment vertical="top"/>
    </xf>
    <xf numFmtId="9" fontId="11" fillId="0" borderId="0" xfId="3" applyFont="1" applyAlignment="1">
      <alignment vertical="top"/>
    </xf>
    <xf numFmtId="165" fontId="11" fillId="0" borderId="0" xfId="5" applyFont="1" applyAlignment="1">
      <alignment vertical="top"/>
    </xf>
    <xf numFmtId="0" fontId="25" fillId="0" borderId="0" xfId="2" applyNumberFormat="1" applyFont="1" applyAlignment="1">
      <alignment vertical="top" wrapText="1"/>
    </xf>
    <xf numFmtId="43" fontId="4" fillId="0" borderId="0" xfId="1" applyFont="1" applyAlignment="1">
      <alignment vertical="top"/>
    </xf>
    <xf numFmtId="0" fontId="11" fillId="0" borderId="0" xfId="4" applyNumberFormat="1" applyFont="1" applyAlignment="1">
      <alignment vertical="top" wrapText="1"/>
    </xf>
    <xf numFmtId="165" fontId="21" fillId="0" borderId="0" xfId="5" applyFont="1" applyAlignment="1">
      <alignment vertical="top"/>
    </xf>
    <xf numFmtId="0" fontId="3" fillId="2" borderId="1" xfId="6" applyNumberFormat="1" applyFont="1" applyFill="1" applyBorder="1" applyAlignment="1">
      <alignment horizontal="center" vertical="top" wrapText="1"/>
    </xf>
    <xf numFmtId="0" fontId="0" fillId="0" borderId="7" xfId="0" applyBorder="1"/>
    <xf numFmtId="0" fontId="3" fillId="2" borderId="1" xfId="5" applyNumberFormat="1" applyFont="1" applyFill="1" applyBorder="1" applyAlignment="1">
      <alignment horizontal="center" vertical="top" wrapText="1"/>
    </xf>
    <xf numFmtId="0" fontId="0" fillId="0" borderId="2" xfId="0" applyBorder="1"/>
    <xf numFmtId="0" fontId="3" fillId="2" borderId="1" xfId="4" applyNumberFormat="1" applyFont="1" applyFill="1" applyBorder="1" applyAlignment="1">
      <alignment horizontal="right" vertical="top" wrapText="1"/>
    </xf>
    <xf numFmtId="0" fontId="13" fillId="0" borderId="0" xfId="4" applyNumberFormat="1" applyFont="1" applyAlignment="1">
      <alignment vertical="top" wrapText="1"/>
    </xf>
    <xf numFmtId="0" fontId="3" fillId="2" borderId="1" xfId="1" applyNumberFormat="1" applyFont="1" applyFill="1" applyBorder="1" applyAlignment="1">
      <alignment horizontal="right" vertical="top" wrapText="1"/>
    </xf>
    <xf numFmtId="43" fontId="3" fillId="2" borderId="1" xfId="1" applyFont="1" applyFill="1" applyBorder="1" applyAlignment="1">
      <alignment horizontal="right" vertical="top" wrapText="1"/>
    </xf>
  </cellXfs>
  <cellStyles count="8">
    <cellStyle name="Comma" xfId="1" builtinId="3"/>
    <cellStyle name="Comma 2" xfId="4" xr:uid="{00000000-0005-0000-0000-000004000000}"/>
    <cellStyle name="Comma 2 2 2 2" xfId="7" xr:uid="{00000000-0005-0000-0000-000007000000}"/>
    <cellStyle name="Comma 4" xfId="6" xr:uid="{00000000-0005-0000-0000-000006000000}"/>
    <cellStyle name="Normal" xfId="0" builtinId="0"/>
    <cellStyle name="Normal 2" xfId="5" xr:uid="{00000000-0005-0000-0000-000005000000}"/>
    <cellStyle name="Normal_SHEET" xfId="2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3" tint="0.79998168889431442"/>
  </sheetPr>
  <dimension ref="A1:S153"/>
  <sheetViews>
    <sheetView showGridLines="0" tabSelected="1" topLeftCell="A3" zoomScale="70" zoomScaleNormal="70" workbookViewId="0">
      <selection activeCell="D13" sqref="D13"/>
    </sheetView>
  </sheetViews>
  <sheetFormatPr defaultColWidth="0" defaultRowHeight="15" x14ac:dyDescent="0.25"/>
  <cols>
    <col min="1" max="1" width="1.42578125" style="12" customWidth="1"/>
    <col min="2" max="2" width="36.42578125" style="27" bestFit="1" customWidth="1"/>
    <col min="3" max="3" width="6.42578125" style="27" bestFit="1" customWidth="1"/>
    <col min="4" max="4" width="20.42578125" style="122" customWidth="1"/>
    <col min="5" max="5" width="14.42578125" style="122" bestFit="1" customWidth="1"/>
    <col min="6" max="6" width="20.5703125" style="122" customWidth="1"/>
    <col min="7" max="7" width="21.5703125" style="144" bestFit="1" customWidth="1"/>
    <col min="8" max="8" width="8.42578125" style="122" bestFit="1" customWidth="1"/>
    <col min="9" max="9" width="18.5703125" style="122" bestFit="1" customWidth="1"/>
    <col min="10" max="10" width="18.42578125" style="122" customWidth="1"/>
    <col min="11" max="11" width="8.5703125" style="125" bestFit="1" customWidth="1"/>
    <col min="12" max="12" width="9.42578125" style="12" bestFit="1" customWidth="1"/>
    <col min="13" max="13" width="17.5703125" style="127" bestFit="1" customWidth="1"/>
    <col min="14" max="14" width="16.28515625" style="127" customWidth="1"/>
    <col min="15" max="15" width="2.5703125" style="127" customWidth="1"/>
    <col min="16" max="16" width="18.5703125" style="128" bestFit="1" customWidth="1"/>
    <col min="17" max="17" width="21.42578125" style="128" bestFit="1" customWidth="1"/>
    <col min="18" max="18" width="7.42578125" style="12" customWidth="1"/>
    <col min="19" max="19" width="0" style="12" hidden="1" customWidth="1"/>
    <col min="20" max="20" width="9.42578125" style="12" hidden="1" customWidth="1"/>
    <col min="21" max="16384" width="9.42578125" style="12" hidden="1"/>
  </cols>
  <sheetData>
    <row r="1" spans="2:18" ht="14.25" hidden="1" customHeight="1" x14ac:dyDescent="0.25">
      <c r="B1" s="1" t="s">
        <v>0</v>
      </c>
      <c r="C1" s="1"/>
      <c r="D1" s="2"/>
      <c r="E1" s="2"/>
      <c r="F1" s="3"/>
      <c r="G1" s="4"/>
      <c r="H1" s="5"/>
      <c r="I1" s="5"/>
      <c r="J1" s="6"/>
      <c r="K1" s="7"/>
      <c r="L1" s="8"/>
      <c r="M1" s="9"/>
      <c r="N1" s="9"/>
      <c r="O1" s="9"/>
      <c r="P1" s="10"/>
      <c r="Q1" s="10"/>
      <c r="R1" s="11"/>
    </row>
    <row r="2" spans="2:18" hidden="1" x14ac:dyDescent="0.25">
      <c r="B2" s="13"/>
      <c r="C2" s="14"/>
      <c r="D2" s="6"/>
      <c r="E2" s="6"/>
      <c r="F2" s="15"/>
      <c r="G2" s="16" t="s">
        <v>1</v>
      </c>
      <c r="H2" s="17"/>
      <c r="I2" s="17"/>
      <c r="J2" s="6"/>
      <c r="K2" s="18" t="s">
        <v>146</v>
      </c>
      <c r="L2" s="8"/>
      <c r="M2" s="19"/>
      <c r="N2" s="20"/>
      <c r="O2" s="20"/>
      <c r="P2" s="21"/>
      <c r="Q2" s="22"/>
      <c r="R2" s="11"/>
    </row>
    <row r="3" spans="2:18" s="27" customFormat="1" ht="28.5" customHeight="1" x14ac:dyDescent="0.25">
      <c r="B3" s="149" t="s">
        <v>2</v>
      </c>
      <c r="C3" s="149" t="s">
        <v>3</v>
      </c>
      <c r="D3" s="153" t="s">
        <v>4</v>
      </c>
      <c r="E3" s="153" t="s">
        <v>5</v>
      </c>
      <c r="F3" s="153" t="s">
        <v>6</v>
      </c>
      <c r="G3" s="154" t="s">
        <v>7</v>
      </c>
      <c r="H3" s="153" t="s">
        <v>8</v>
      </c>
      <c r="I3" s="153" t="s">
        <v>9</v>
      </c>
      <c r="J3" s="147" t="s">
        <v>10</v>
      </c>
      <c r="K3" s="148"/>
      <c r="L3" s="24" t="s">
        <v>11</v>
      </c>
      <c r="M3" s="151" t="s">
        <v>12</v>
      </c>
      <c r="N3" s="151" t="s">
        <v>13</v>
      </c>
      <c r="O3" s="26"/>
      <c r="P3" s="151" t="s">
        <v>14</v>
      </c>
      <c r="Q3" s="25" t="s">
        <v>15</v>
      </c>
    </row>
    <row r="4" spans="2:18" s="27" customFormat="1" ht="12.6" customHeight="1" x14ac:dyDescent="0.25">
      <c r="B4" s="150"/>
      <c r="C4" s="150"/>
      <c r="D4" s="150"/>
      <c r="E4" s="150"/>
      <c r="F4" s="150"/>
      <c r="G4" s="150"/>
      <c r="H4" s="150"/>
      <c r="I4" s="150"/>
      <c r="J4" s="28" t="s">
        <v>16</v>
      </c>
      <c r="K4" s="23" t="s">
        <v>17</v>
      </c>
      <c r="L4" s="24" t="s">
        <v>18</v>
      </c>
      <c r="M4" s="150"/>
      <c r="N4" s="150"/>
      <c r="O4" s="26"/>
      <c r="P4" s="150"/>
      <c r="Q4" s="25" t="s">
        <v>19</v>
      </c>
    </row>
    <row r="5" spans="2:18" x14ac:dyDescent="0.25">
      <c r="B5" s="29"/>
      <c r="C5" s="30"/>
      <c r="D5" s="31"/>
      <c r="E5" s="31"/>
      <c r="F5" s="32"/>
      <c r="G5" s="33"/>
      <c r="H5" s="32"/>
      <c r="I5" s="32"/>
      <c r="J5" s="32"/>
      <c r="K5" s="34"/>
      <c r="L5" s="35" t="s">
        <v>20</v>
      </c>
      <c r="M5" s="36"/>
      <c r="N5" s="37">
        <v>0</v>
      </c>
      <c r="O5" s="38"/>
      <c r="P5" s="39"/>
      <c r="Q5" s="40">
        <f>SUBTOTAL(9,Q8:Q145)/2</f>
        <v>0</v>
      </c>
    </row>
    <row r="6" spans="2:18" x14ac:dyDescent="0.25">
      <c r="B6" s="41" t="s">
        <v>21</v>
      </c>
      <c r="C6" s="30"/>
      <c r="D6" s="42"/>
      <c r="E6" s="42"/>
      <c r="F6" s="43"/>
      <c r="G6" s="33"/>
      <c r="H6" s="43"/>
      <c r="I6" s="43"/>
      <c r="J6" s="43"/>
      <c r="K6" s="34"/>
      <c r="L6" s="8" t="s">
        <v>20</v>
      </c>
      <c r="M6" s="44"/>
      <c r="N6" s="45"/>
      <c r="O6" s="46"/>
      <c r="P6" s="47"/>
      <c r="Q6" s="48"/>
    </row>
    <row r="7" spans="2:18" x14ac:dyDescent="0.25">
      <c r="B7" s="49"/>
      <c r="C7" s="50"/>
      <c r="D7" s="51"/>
      <c r="E7" s="51"/>
      <c r="F7" s="43"/>
      <c r="G7" s="33"/>
      <c r="H7" s="43"/>
      <c r="I7" s="43"/>
      <c r="J7" s="43"/>
      <c r="K7" s="34"/>
      <c r="L7" s="8"/>
      <c r="M7" s="52"/>
      <c r="N7" s="53"/>
      <c r="O7" s="54"/>
      <c r="P7" s="47"/>
      <c r="Q7" s="55"/>
      <c r="R7" s="11"/>
    </row>
    <row r="8" spans="2:18" ht="14.25" customHeight="1" x14ac:dyDescent="0.25">
      <c r="B8" s="56" t="s">
        <v>22</v>
      </c>
      <c r="C8" s="50">
        <v>100</v>
      </c>
      <c r="D8" s="57">
        <v>0</v>
      </c>
      <c r="E8" s="57"/>
      <c r="F8" s="57"/>
      <c r="G8" s="58"/>
      <c r="H8" s="57"/>
      <c r="I8" s="57"/>
      <c r="J8" s="57"/>
      <c r="K8" s="59"/>
      <c r="L8" s="8"/>
      <c r="M8" s="60"/>
      <c r="N8" s="61"/>
      <c r="O8" s="62"/>
      <c r="P8" s="63"/>
      <c r="Q8" s="40">
        <f>D8-P8</f>
        <v>0</v>
      </c>
      <c r="R8" s="11"/>
    </row>
    <row r="9" spans="2:18" ht="14.25" customHeight="1" x14ac:dyDescent="0.25">
      <c r="B9" s="56"/>
      <c r="C9" s="50"/>
      <c r="D9" s="57"/>
      <c r="E9" s="57"/>
      <c r="F9" s="64"/>
      <c r="G9" s="65"/>
      <c r="H9" s="64"/>
      <c r="I9" s="64"/>
      <c r="J9" s="64"/>
      <c r="K9" s="66"/>
      <c r="L9" s="8"/>
      <c r="M9" s="60"/>
      <c r="N9" s="61"/>
      <c r="O9" s="62"/>
      <c r="P9" s="63"/>
      <c r="Q9" s="40"/>
      <c r="R9" s="11"/>
    </row>
    <row r="10" spans="2:18" x14ac:dyDescent="0.25">
      <c r="B10" s="67" t="s">
        <v>23</v>
      </c>
      <c r="C10" s="68">
        <v>110</v>
      </c>
      <c r="D10" s="69"/>
      <c r="E10" s="69"/>
      <c r="F10" s="69"/>
      <c r="G10" s="70"/>
      <c r="H10" s="69"/>
      <c r="I10" s="69"/>
      <c r="J10" s="69"/>
      <c r="K10" s="71"/>
      <c r="L10" s="72"/>
      <c r="M10" s="73"/>
      <c r="N10" s="74"/>
      <c r="O10" s="75"/>
      <c r="P10" s="76"/>
      <c r="Q10" s="40">
        <f>D10-P10</f>
        <v>0</v>
      </c>
      <c r="R10" s="77"/>
    </row>
    <row r="11" spans="2:18" x14ac:dyDescent="0.25">
      <c r="B11" s="78" t="s">
        <v>24</v>
      </c>
      <c r="C11" s="30">
        <v>111</v>
      </c>
      <c r="D11" s="32">
        <v>6085663659</v>
      </c>
      <c r="E11" s="32"/>
      <c r="F11" s="32"/>
      <c r="G11" s="79"/>
      <c r="H11" s="32"/>
      <c r="I11" s="32"/>
      <c r="J11" s="32"/>
      <c r="K11" s="59"/>
      <c r="L11" s="8"/>
      <c r="M11" s="32"/>
      <c r="N11" s="45"/>
      <c r="O11" s="46"/>
      <c r="P11" s="80"/>
      <c r="Q11" s="40">
        <f>D11-P11</f>
        <v>6085663659</v>
      </c>
      <c r="R11" s="11"/>
    </row>
    <row r="12" spans="2:18" x14ac:dyDescent="0.25">
      <c r="B12" s="78" t="s">
        <v>25</v>
      </c>
      <c r="C12" s="30">
        <v>112</v>
      </c>
      <c r="D12" s="32"/>
      <c r="E12" s="32"/>
      <c r="F12" s="32"/>
      <c r="G12" s="79"/>
      <c r="H12" s="32"/>
      <c r="I12" s="32"/>
      <c r="J12" s="32"/>
      <c r="K12" s="59"/>
      <c r="L12" s="8"/>
      <c r="M12" s="32"/>
      <c r="N12" s="45"/>
      <c r="O12" s="46"/>
      <c r="P12" s="80"/>
      <c r="Q12" s="40">
        <f>D12-P12</f>
        <v>0</v>
      </c>
      <c r="R12" s="11"/>
    </row>
    <row r="13" spans="2:18" x14ac:dyDescent="0.25">
      <c r="B13" s="81"/>
      <c r="C13" s="30"/>
      <c r="D13" s="31"/>
      <c r="E13" s="31"/>
      <c r="F13" s="31"/>
      <c r="G13" s="82"/>
      <c r="H13" s="31"/>
      <c r="I13" s="31"/>
      <c r="J13" s="32"/>
      <c r="K13" s="59"/>
      <c r="L13" s="8"/>
      <c r="M13" s="44"/>
      <c r="N13" s="83"/>
      <c r="O13" s="46"/>
      <c r="P13" s="47"/>
      <c r="Q13" s="40"/>
      <c r="R13" s="11"/>
    </row>
    <row r="14" spans="2:18" x14ac:dyDescent="0.25">
      <c r="B14" s="67" t="s">
        <v>26</v>
      </c>
      <c r="C14" s="68">
        <v>120</v>
      </c>
      <c r="D14" s="69"/>
      <c r="E14" s="69"/>
      <c r="F14" s="69"/>
      <c r="G14" s="70"/>
      <c r="H14" s="69"/>
      <c r="I14" s="69"/>
      <c r="J14" s="69"/>
      <c r="K14" s="71"/>
      <c r="L14" s="72"/>
      <c r="M14" s="73"/>
      <c r="N14" s="74"/>
      <c r="O14" s="75"/>
      <c r="P14" s="84"/>
      <c r="Q14" s="40">
        <f>D14-P14</f>
        <v>0</v>
      </c>
      <c r="R14" s="77"/>
    </row>
    <row r="15" spans="2:18" x14ac:dyDescent="0.25">
      <c r="B15" s="78" t="s">
        <v>27</v>
      </c>
      <c r="C15" s="30">
        <v>121</v>
      </c>
      <c r="D15" s="32"/>
      <c r="E15" s="32"/>
      <c r="F15" s="32"/>
      <c r="G15" s="85"/>
      <c r="H15" s="32"/>
      <c r="I15" s="32"/>
      <c r="J15" s="32"/>
      <c r="K15" s="59"/>
      <c r="L15" s="8"/>
      <c r="M15" s="32"/>
      <c r="N15" s="45"/>
      <c r="O15" s="46"/>
      <c r="P15" s="80"/>
      <c r="Q15" s="40">
        <f>D15-P15</f>
        <v>0</v>
      </c>
      <c r="R15" s="11"/>
    </row>
    <row r="16" spans="2:18" x14ac:dyDescent="0.25">
      <c r="B16" s="78" t="s">
        <v>28</v>
      </c>
      <c r="C16" s="30">
        <v>122</v>
      </c>
      <c r="D16" s="32"/>
      <c r="E16" s="32"/>
      <c r="F16" s="32"/>
      <c r="G16" s="85"/>
      <c r="H16" s="32"/>
      <c r="I16" s="32"/>
      <c r="J16" s="32"/>
      <c r="K16" s="59"/>
      <c r="L16" s="8"/>
      <c r="M16" s="32"/>
      <c r="N16" s="45"/>
      <c r="O16" s="46"/>
      <c r="P16" s="80"/>
      <c r="Q16" s="40">
        <f>D16-P16</f>
        <v>0</v>
      </c>
      <c r="R16" s="11"/>
    </row>
    <row r="17" spans="2:18" x14ac:dyDescent="0.25">
      <c r="B17" s="78" t="s">
        <v>29</v>
      </c>
      <c r="C17" s="30">
        <v>123</v>
      </c>
      <c r="D17" s="32"/>
      <c r="E17" s="32"/>
      <c r="F17" s="32"/>
      <c r="G17" s="85"/>
      <c r="H17" s="32"/>
      <c r="I17" s="32"/>
      <c r="J17" s="32"/>
      <c r="K17" s="59"/>
      <c r="L17" s="8"/>
      <c r="M17" s="32"/>
      <c r="N17" s="45"/>
      <c r="O17" s="46"/>
      <c r="P17" s="80"/>
      <c r="Q17" s="40">
        <f>D17-P17</f>
        <v>0</v>
      </c>
      <c r="R17" s="11"/>
    </row>
    <row r="18" spans="2:18" x14ac:dyDescent="0.25">
      <c r="B18" s="81"/>
      <c r="C18" s="30"/>
      <c r="D18" s="31"/>
      <c r="E18" s="31"/>
      <c r="F18" s="31"/>
      <c r="G18" s="82"/>
      <c r="H18" s="31"/>
      <c r="I18" s="31"/>
      <c r="J18" s="32"/>
      <c r="K18" s="59"/>
      <c r="L18" s="8"/>
      <c r="M18" s="44"/>
      <c r="N18" s="83"/>
      <c r="O18" s="46"/>
      <c r="P18" s="47"/>
      <c r="Q18" s="40"/>
      <c r="R18" s="11"/>
    </row>
    <row r="19" spans="2:18" x14ac:dyDescent="0.25">
      <c r="B19" s="67" t="s">
        <v>30</v>
      </c>
      <c r="C19" s="68">
        <v>130</v>
      </c>
      <c r="D19" s="69"/>
      <c r="E19" s="69"/>
      <c r="F19" s="69"/>
      <c r="G19" s="70"/>
      <c r="H19" s="69"/>
      <c r="I19" s="69"/>
      <c r="J19" s="69"/>
      <c r="K19" s="71"/>
      <c r="L19" s="72"/>
      <c r="M19" s="73"/>
      <c r="N19" s="74"/>
      <c r="O19" s="75"/>
      <c r="P19" s="76"/>
      <c r="Q19" s="40">
        <f t="shared" ref="Q19:Q27" si="0">D19-P19</f>
        <v>0</v>
      </c>
      <c r="R19" s="77"/>
    </row>
    <row r="20" spans="2:18" x14ac:dyDescent="0.25">
      <c r="B20" s="78" t="s">
        <v>31</v>
      </c>
      <c r="C20" s="30">
        <v>131</v>
      </c>
      <c r="D20" s="32">
        <v>553057697</v>
      </c>
      <c r="E20" s="32"/>
      <c r="F20" s="32"/>
      <c r="G20" s="79"/>
      <c r="H20" s="32"/>
      <c r="I20" s="32"/>
      <c r="J20" s="32"/>
      <c r="K20" s="59"/>
      <c r="L20" s="8"/>
      <c r="M20" s="32"/>
      <c r="N20" s="45"/>
      <c r="O20" s="46"/>
      <c r="P20" s="80"/>
      <c r="Q20" s="40">
        <f t="shared" si="0"/>
        <v>553057697</v>
      </c>
    </row>
    <row r="21" spans="2:18" x14ac:dyDescent="0.25">
      <c r="B21" s="78" t="s">
        <v>32</v>
      </c>
      <c r="C21" s="30">
        <v>132</v>
      </c>
      <c r="D21" s="32">
        <v>19084163</v>
      </c>
      <c r="E21" s="32"/>
      <c r="F21" s="32"/>
      <c r="G21" s="79"/>
      <c r="H21" s="32"/>
      <c r="I21" s="32"/>
      <c r="J21" s="32"/>
      <c r="K21" s="59"/>
      <c r="L21" s="8"/>
      <c r="M21" s="32"/>
      <c r="N21" s="45"/>
      <c r="O21" s="46"/>
      <c r="P21" s="80"/>
      <c r="Q21" s="40">
        <f t="shared" si="0"/>
        <v>19084163</v>
      </c>
      <c r="R21" s="11"/>
    </row>
    <row r="22" spans="2:18" x14ac:dyDescent="0.25">
      <c r="B22" s="78" t="s">
        <v>33</v>
      </c>
      <c r="C22" s="30">
        <v>133</v>
      </c>
      <c r="D22" s="32"/>
      <c r="E22" s="32"/>
      <c r="F22" s="32"/>
      <c r="G22" s="85"/>
      <c r="H22" s="32"/>
      <c r="I22" s="32"/>
      <c r="J22" s="32"/>
      <c r="K22" s="59"/>
      <c r="L22" s="8"/>
      <c r="M22" s="32"/>
      <c r="N22" s="45"/>
      <c r="O22" s="46"/>
      <c r="P22" s="80"/>
      <c r="Q22" s="40">
        <f t="shared" si="0"/>
        <v>0</v>
      </c>
      <c r="R22" s="11"/>
    </row>
    <row r="23" spans="2:18" ht="38.25" customHeight="1" x14ac:dyDescent="0.25">
      <c r="B23" s="86" t="s">
        <v>34</v>
      </c>
      <c r="C23" s="30">
        <v>134</v>
      </c>
      <c r="D23" s="32"/>
      <c r="E23" s="32"/>
      <c r="F23" s="32"/>
      <c r="G23" s="85"/>
      <c r="H23" s="32"/>
      <c r="I23" s="32"/>
      <c r="J23" s="32"/>
      <c r="K23" s="59"/>
      <c r="L23" s="8"/>
      <c r="M23" s="32"/>
      <c r="N23" s="45"/>
      <c r="O23" s="46"/>
      <c r="P23" s="80"/>
      <c r="Q23" s="40">
        <f t="shared" si="0"/>
        <v>0</v>
      </c>
      <c r="R23" s="11"/>
    </row>
    <row r="24" spans="2:18" x14ac:dyDescent="0.25">
      <c r="B24" s="78" t="s">
        <v>35</v>
      </c>
      <c r="C24" s="30">
        <v>135</v>
      </c>
      <c r="D24" s="32"/>
      <c r="E24" s="32"/>
      <c r="F24" s="32"/>
      <c r="G24" s="85"/>
      <c r="H24" s="32"/>
      <c r="I24" s="32"/>
      <c r="J24" s="32"/>
      <c r="K24" s="59"/>
      <c r="L24" s="8"/>
      <c r="M24" s="32"/>
      <c r="N24" s="45"/>
      <c r="O24" s="46"/>
      <c r="P24" s="80"/>
      <c r="Q24" s="40">
        <f t="shared" si="0"/>
        <v>0</v>
      </c>
      <c r="R24" s="11"/>
    </row>
    <row r="25" spans="2:18" x14ac:dyDescent="0.25">
      <c r="B25" s="78" t="s">
        <v>36</v>
      </c>
      <c r="C25" s="30">
        <v>136</v>
      </c>
      <c r="D25" s="32">
        <v>396206400</v>
      </c>
      <c r="E25" s="32"/>
      <c r="F25" s="32"/>
      <c r="G25" s="85"/>
      <c r="H25" s="32"/>
      <c r="I25" s="32"/>
      <c r="J25" s="32"/>
      <c r="K25" s="59"/>
      <c r="L25" s="8"/>
      <c r="M25" s="32"/>
      <c r="N25" s="45"/>
      <c r="O25" s="46"/>
      <c r="P25" s="80"/>
      <c r="Q25" s="40">
        <f t="shared" si="0"/>
        <v>396206400</v>
      </c>
      <c r="R25" s="87"/>
    </row>
    <row r="26" spans="2:18" x14ac:dyDescent="0.25">
      <c r="B26" s="78" t="s">
        <v>37</v>
      </c>
      <c r="C26" s="30">
        <v>137</v>
      </c>
      <c r="D26" s="32"/>
      <c r="E26" s="32"/>
      <c r="F26" s="32"/>
      <c r="G26" s="85"/>
      <c r="H26" s="32"/>
      <c r="I26" s="32"/>
      <c r="J26" s="32"/>
      <c r="K26" s="59"/>
      <c r="L26" s="8"/>
      <c r="M26" s="32"/>
      <c r="N26" s="45"/>
      <c r="O26" s="46"/>
      <c r="P26" s="80"/>
      <c r="Q26" s="40">
        <f t="shared" si="0"/>
        <v>0</v>
      </c>
      <c r="R26" s="11"/>
    </row>
    <row r="27" spans="2:18" x14ac:dyDescent="0.25">
      <c r="B27" s="78" t="s">
        <v>38</v>
      </c>
      <c r="C27" s="30">
        <v>139</v>
      </c>
      <c r="D27" s="32"/>
      <c r="E27" s="32"/>
      <c r="F27" s="32"/>
      <c r="G27" s="85"/>
      <c r="H27" s="32"/>
      <c r="I27" s="32"/>
      <c r="J27" s="32"/>
      <c r="K27" s="59"/>
      <c r="L27" s="8"/>
      <c r="M27" s="32"/>
      <c r="N27" s="45"/>
      <c r="O27" s="46"/>
      <c r="P27" s="80"/>
      <c r="Q27" s="40">
        <f t="shared" si="0"/>
        <v>0</v>
      </c>
      <c r="R27" s="11"/>
    </row>
    <row r="28" spans="2:18" x14ac:dyDescent="0.25">
      <c r="B28" s="81"/>
      <c r="C28" s="30"/>
      <c r="D28" s="31"/>
      <c r="E28" s="31"/>
      <c r="F28" s="31"/>
      <c r="G28" s="82"/>
      <c r="H28" s="31"/>
      <c r="I28" s="31"/>
      <c r="J28" s="32"/>
      <c r="K28" s="59"/>
      <c r="L28" s="8"/>
      <c r="M28" s="44"/>
      <c r="N28" s="83"/>
      <c r="O28" s="46"/>
      <c r="P28" s="47"/>
      <c r="Q28" s="40"/>
      <c r="R28" s="11"/>
    </row>
    <row r="29" spans="2:18" x14ac:dyDescent="0.25">
      <c r="B29" s="67" t="s">
        <v>39</v>
      </c>
      <c r="C29" s="68">
        <v>140</v>
      </c>
      <c r="D29" s="69"/>
      <c r="E29" s="69"/>
      <c r="F29" s="69"/>
      <c r="G29" s="70"/>
      <c r="H29" s="69"/>
      <c r="I29" s="69"/>
      <c r="J29" s="69"/>
      <c r="K29" s="71"/>
      <c r="L29" s="72"/>
      <c r="M29" s="73"/>
      <c r="N29" s="74"/>
      <c r="O29" s="75"/>
      <c r="P29" s="76"/>
      <c r="Q29" s="40">
        <f>D29-P29</f>
        <v>0</v>
      </c>
      <c r="R29" s="77"/>
    </row>
    <row r="30" spans="2:18" x14ac:dyDescent="0.25">
      <c r="B30" s="78" t="s">
        <v>40</v>
      </c>
      <c r="C30" s="30">
        <v>141</v>
      </c>
      <c r="D30" s="32">
        <v>439054511</v>
      </c>
      <c r="E30" s="32"/>
      <c r="F30" s="32"/>
      <c r="G30" s="79"/>
      <c r="H30" s="32"/>
      <c r="I30" s="32"/>
      <c r="J30" s="32"/>
      <c r="K30" s="59"/>
      <c r="L30" s="8"/>
      <c r="M30" s="32"/>
      <c r="N30" s="45"/>
      <c r="O30" s="46"/>
      <c r="P30" s="80"/>
      <c r="Q30" s="40">
        <f>D30-P30</f>
        <v>439054511</v>
      </c>
      <c r="R30" s="11"/>
    </row>
    <row r="31" spans="2:18" x14ac:dyDescent="0.25">
      <c r="B31" s="78" t="s">
        <v>41</v>
      </c>
      <c r="C31" s="30">
        <v>149</v>
      </c>
      <c r="D31" s="32"/>
      <c r="E31" s="32"/>
      <c r="F31" s="32"/>
      <c r="G31" s="85"/>
      <c r="H31" s="32"/>
      <c r="I31" s="32"/>
      <c r="J31" s="32"/>
      <c r="K31" s="59"/>
      <c r="L31" s="8"/>
      <c r="M31" s="32"/>
      <c r="N31" s="45"/>
      <c r="O31" s="46"/>
      <c r="P31" s="80"/>
      <c r="Q31" s="40">
        <f>D31-P31</f>
        <v>0</v>
      </c>
      <c r="R31" s="11"/>
    </row>
    <row r="32" spans="2:18" x14ac:dyDescent="0.25">
      <c r="B32" s="88"/>
      <c r="C32" s="30"/>
      <c r="D32" s="31"/>
      <c r="E32" s="31"/>
      <c r="F32" s="31"/>
      <c r="G32" s="82"/>
      <c r="H32" s="31"/>
      <c r="I32" s="31"/>
      <c r="J32" s="32"/>
      <c r="K32" s="59"/>
      <c r="L32" s="8"/>
      <c r="M32" s="44"/>
      <c r="N32" s="83"/>
      <c r="O32" s="46"/>
      <c r="P32" s="47"/>
      <c r="Q32" s="40"/>
      <c r="R32" s="11"/>
    </row>
    <row r="33" spans="2:18" x14ac:dyDescent="0.25">
      <c r="B33" s="67" t="s">
        <v>42</v>
      </c>
      <c r="C33" s="68">
        <v>150</v>
      </c>
      <c r="D33" s="69"/>
      <c r="E33" s="69"/>
      <c r="F33" s="69"/>
      <c r="G33" s="70"/>
      <c r="H33" s="69"/>
      <c r="I33" s="69"/>
      <c r="J33" s="69"/>
      <c r="K33" s="71"/>
      <c r="L33" s="72"/>
      <c r="M33" s="73"/>
      <c r="N33" s="74"/>
      <c r="O33" s="75"/>
      <c r="P33" s="76"/>
      <c r="Q33" s="40">
        <f t="shared" ref="Q33:Q38" si="1">D33-P33</f>
        <v>0</v>
      </c>
      <c r="R33" s="77"/>
    </row>
    <row r="34" spans="2:18" x14ac:dyDescent="0.25">
      <c r="B34" s="78" t="s">
        <v>43</v>
      </c>
      <c r="C34" s="30">
        <v>151</v>
      </c>
      <c r="D34" s="32">
        <v>123301727</v>
      </c>
      <c r="E34" s="32"/>
      <c r="F34" s="32"/>
      <c r="G34" s="79"/>
      <c r="H34" s="32"/>
      <c r="I34" s="32"/>
      <c r="J34" s="32"/>
      <c r="K34" s="59"/>
      <c r="L34" s="8"/>
      <c r="M34" s="32"/>
      <c r="N34" s="45"/>
      <c r="O34" s="46"/>
      <c r="P34" s="80"/>
      <c r="Q34" s="40">
        <f t="shared" si="1"/>
        <v>123301727</v>
      </c>
      <c r="R34" s="89"/>
    </row>
    <row r="35" spans="2:18" x14ac:dyDescent="0.25">
      <c r="B35" s="78" t="s">
        <v>44</v>
      </c>
      <c r="C35" s="30">
        <v>152</v>
      </c>
      <c r="D35" s="32">
        <v>0</v>
      </c>
      <c r="E35" s="32"/>
      <c r="F35" s="32"/>
      <c r="G35" s="85"/>
      <c r="H35" s="32"/>
      <c r="I35" s="32"/>
      <c r="J35" s="32"/>
      <c r="K35" s="59"/>
      <c r="L35" s="8"/>
      <c r="M35" s="32"/>
      <c r="N35" s="45"/>
      <c r="O35" s="46"/>
      <c r="P35" s="80"/>
      <c r="Q35" s="40">
        <f t="shared" si="1"/>
        <v>0</v>
      </c>
      <c r="R35" s="11"/>
    </row>
    <row r="36" spans="2:18" x14ac:dyDescent="0.25">
      <c r="B36" s="78" t="s">
        <v>45</v>
      </c>
      <c r="C36" s="30">
        <v>153</v>
      </c>
      <c r="D36" s="32"/>
      <c r="E36" s="32"/>
      <c r="F36" s="32"/>
      <c r="G36" s="85"/>
      <c r="H36" s="32"/>
      <c r="I36" s="32"/>
      <c r="J36" s="32"/>
      <c r="K36" s="59"/>
      <c r="L36" s="8"/>
      <c r="M36" s="32"/>
      <c r="N36" s="45"/>
      <c r="O36" s="46"/>
      <c r="P36" s="80"/>
      <c r="Q36" s="40">
        <f t="shared" si="1"/>
        <v>0</v>
      </c>
      <c r="R36" s="11"/>
    </row>
    <row r="37" spans="2:18" x14ac:dyDescent="0.25">
      <c r="B37" s="78" t="s">
        <v>46</v>
      </c>
      <c r="C37" s="30">
        <v>154</v>
      </c>
      <c r="D37" s="32"/>
      <c r="E37" s="32"/>
      <c r="F37" s="32"/>
      <c r="G37" s="85"/>
      <c r="H37" s="32"/>
      <c r="I37" s="32"/>
      <c r="J37" s="32"/>
      <c r="K37" s="59"/>
      <c r="L37" s="8"/>
      <c r="M37" s="32"/>
      <c r="N37" s="45"/>
      <c r="O37" s="46"/>
      <c r="P37" s="80"/>
      <c r="Q37" s="40">
        <f t="shared" si="1"/>
        <v>0</v>
      </c>
      <c r="R37" s="11"/>
    </row>
    <row r="38" spans="2:18" x14ac:dyDescent="0.25">
      <c r="B38" s="78" t="s">
        <v>47</v>
      </c>
      <c r="C38" s="30">
        <v>155</v>
      </c>
      <c r="D38" s="32"/>
      <c r="E38" s="32"/>
      <c r="F38" s="32"/>
      <c r="G38" s="79"/>
      <c r="H38" s="32"/>
      <c r="I38" s="32"/>
      <c r="J38" s="32"/>
      <c r="K38" s="59"/>
      <c r="L38" s="8"/>
      <c r="M38" s="32"/>
      <c r="N38" s="45"/>
      <c r="O38" s="46"/>
      <c r="P38" s="80"/>
      <c r="Q38" s="40">
        <f t="shared" si="1"/>
        <v>0</v>
      </c>
      <c r="R38" s="87"/>
    </row>
    <row r="39" spans="2:18" ht="14.25" customHeight="1" x14ac:dyDescent="0.25">
      <c r="B39" s="90"/>
      <c r="C39" s="50"/>
      <c r="D39" s="57"/>
      <c r="E39" s="57"/>
      <c r="F39" s="57"/>
      <c r="G39" s="65"/>
      <c r="H39" s="64"/>
      <c r="I39" s="64"/>
      <c r="J39" s="32"/>
      <c r="K39" s="34"/>
      <c r="L39" s="8"/>
      <c r="M39" s="91"/>
      <c r="N39" s="92"/>
      <c r="O39" s="93"/>
      <c r="P39" s="63"/>
      <c r="Q39" s="40"/>
      <c r="R39" s="11"/>
    </row>
    <row r="40" spans="2:18" ht="14.25" customHeight="1" x14ac:dyDescent="0.25">
      <c r="B40" s="56" t="s">
        <v>48</v>
      </c>
      <c r="C40" s="50">
        <v>200</v>
      </c>
      <c r="D40" s="57">
        <v>0</v>
      </c>
      <c r="E40" s="57"/>
      <c r="F40" s="57"/>
      <c r="G40" s="58"/>
      <c r="H40" s="57"/>
      <c r="I40" s="57"/>
      <c r="J40" s="57"/>
      <c r="K40" s="59"/>
      <c r="L40" s="8"/>
      <c r="M40" s="64"/>
      <c r="N40" s="61"/>
      <c r="O40" s="62"/>
      <c r="P40" s="63"/>
      <c r="Q40" s="40">
        <f>D40-P40</f>
        <v>0</v>
      </c>
      <c r="R40" s="11"/>
    </row>
    <row r="41" spans="2:18" ht="14.25" customHeight="1" x14ac:dyDescent="0.25">
      <c r="B41" s="56"/>
      <c r="C41" s="50"/>
      <c r="D41" s="57"/>
      <c r="E41" s="57"/>
      <c r="F41" s="57"/>
      <c r="G41" s="65"/>
      <c r="H41" s="64"/>
      <c r="I41" s="64"/>
      <c r="J41" s="64"/>
      <c r="K41" s="59"/>
      <c r="L41" s="8"/>
      <c r="M41" s="60"/>
      <c r="N41" s="61"/>
      <c r="O41" s="62"/>
      <c r="P41" s="63"/>
      <c r="Q41" s="40"/>
      <c r="R41" s="11"/>
    </row>
    <row r="42" spans="2:18" x14ac:dyDescent="0.25">
      <c r="B42" s="67" t="s">
        <v>49</v>
      </c>
      <c r="C42" s="68">
        <v>210</v>
      </c>
      <c r="D42" s="69"/>
      <c r="E42" s="69"/>
      <c r="F42" s="69"/>
      <c r="G42" s="70"/>
      <c r="H42" s="69"/>
      <c r="I42" s="69"/>
      <c r="J42" s="69"/>
      <c r="K42" s="71"/>
      <c r="L42" s="8"/>
      <c r="M42" s="73"/>
      <c r="N42" s="74"/>
      <c r="O42" s="75"/>
      <c r="P42" s="76"/>
      <c r="Q42" s="40">
        <f t="shared" ref="Q42:Q49" si="2">D42-P42</f>
        <v>0</v>
      </c>
      <c r="R42" s="77"/>
    </row>
    <row r="43" spans="2:18" x14ac:dyDescent="0.25">
      <c r="B43" s="78" t="s">
        <v>50</v>
      </c>
      <c r="C43" s="30">
        <v>211</v>
      </c>
      <c r="D43" s="32"/>
      <c r="E43" s="32"/>
      <c r="F43" s="32"/>
      <c r="G43" s="85"/>
      <c r="H43" s="32"/>
      <c r="I43" s="32"/>
      <c r="J43" s="32"/>
      <c r="K43" s="59"/>
      <c r="L43" s="8"/>
      <c r="M43" s="32"/>
      <c r="N43" s="45"/>
      <c r="O43" s="46"/>
      <c r="P43" s="80"/>
      <c r="Q43" s="40">
        <f t="shared" si="2"/>
        <v>0</v>
      </c>
      <c r="R43" s="11"/>
    </row>
    <row r="44" spans="2:18" x14ac:dyDescent="0.25">
      <c r="B44" s="78" t="s">
        <v>51</v>
      </c>
      <c r="C44" s="30">
        <v>212</v>
      </c>
      <c r="D44" s="32"/>
      <c r="E44" s="32"/>
      <c r="F44" s="32"/>
      <c r="G44" s="85"/>
      <c r="H44" s="32"/>
      <c r="I44" s="32"/>
      <c r="J44" s="32"/>
      <c r="K44" s="59"/>
      <c r="L44" s="8"/>
      <c r="M44" s="32"/>
      <c r="N44" s="45"/>
      <c r="O44" s="46"/>
      <c r="P44" s="80"/>
      <c r="Q44" s="40">
        <f t="shared" si="2"/>
        <v>0</v>
      </c>
      <c r="R44" s="11"/>
    </row>
    <row r="45" spans="2:18" x14ac:dyDescent="0.25">
      <c r="B45" s="78" t="s">
        <v>52</v>
      </c>
      <c r="C45" s="30">
        <v>213</v>
      </c>
      <c r="D45" s="32"/>
      <c r="E45" s="32"/>
      <c r="F45" s="32"/>
      <c r="G45" s="85"/>
      <c r="H45" s="32"/>
      <c r="I45" s="32"/>
      <c r="J45" s="32"/>
      <c r="K45" s="59"/>
      <c r="L45" s="8"/>
      <c r="M45" s="32"/>
      <c r="N45" s="45"/>
      <c r="O45" s="46"/>
      <c r="P45" s="80"/>
      <c r="Q45" s="40">
        <f t="shared" si="2"/>
        <v>0</v>
      </c>
      <c r="R45" s="11"/>
    </row>
    <row r="46" spans="2:18" x14ac:dyDescent="0.25">
      <c r="B46" s="78" t="s">
        <v>53</v>
      </c>
      <c r="C46" s="30">
        <v>214</v>
      </c>
      <c r="D46" s="32"/>
      <c r="E46" s="32"/>
      <c r="F46" s="32"/>
      <c r="G46" s="85"/>
      <c r="H46" s="32"/>
      <c r="I46" s="32"/>
      <c r="J46" s="32"/>
      <c r="K46" s="59"/>
      <c r="L46" s="8"/>
      <c r="M46" s="32"/>
      <c r="N46" s="45"/>
      <c r="O46" s="46"/>
      <c r="P46" s="80"/>
      <c r="Q46" s="40">
        <f t="shared" si="2"/>
        <v>0</v>
      </c>
      <c r="R46" s="11"/>
    </row>
    <row r="47" spans="2:18" x14ac:dyDescent="0.25">
      <c r="B47" s="78" t="s">
        <v>54</v>
      </c>
      <c r="C47" s="30">
        <v>215</v>
      </c>
      <c r="D47" s="32"/>
      <c r="E47" s="32"/>
      <c r="F47" s="32"/>
      <c r="G47" s="85"/>
      <c r="H47" s="32"/>
      <c r="I47" s="32"/>
      <c r="J47" s="32"/>
      <c r="K47" s="59"/>
      <c r="L47" s="8"/>
      <c r="M47" s="32"/>
      <c r="N47" s="45"/>
      <c r="O47" s="46"/>
      <c r="P47" s="80"/>
      <c r="Q47" s="40">
        <f t="shared" si="2"/>
        <v>0</v>
      </c>
      <c r="R47" s="11"/>
    </row>
    <row r="48" spans="2:18" x14ac:dyDescent="0.25">
      <c r="B48" s="78" t="s">
        <v>55</v>
      </c>
      <c r="C48" s="30">
        <v>216</v>
      </c>
      <c r="D48" s="32"/>
      <c r="E48" s="32"/>
      <c r="F48" s="32"/>
      <c r="G48" s="85"/>
      <c r="H48" s="32"/>
      <c r="I48" s="32"/>
      <c r="J48" s="32"/>
      <c r="K48" s="59"/>
      <c r="L48" s="8"/>
      <c r="M48" s="32"/>
      <c r="N48" s="45"/>
      <c r="O48" s="46"/>
      <c r="P48" s="80"/>
      <c r="Q48" s="40">
        <f t="shared" si="2"/>
        <v>0</v>
      </c>
      <c r="R48" s="87"/>
    </row>
    <row r="49" spans="2:18" x14ac:dyDescent="0.25">
      <c r="B49" s="78" t="s">
        <v>56</v>
      </c>
      <c r="C49" s="30">
        <v>219</v>
      </c>
      <c r="D49" s="32"/>
      <c r="E49" s="32"/>
      <c r="F49" s="32"/>
      <c r="G49" s="85"/>
      <c r="H49" s="32"/>
      <c r="I49" s="32"/>
      <c r="J49" s="32"/>
      <c r="K49" s="59"/>
      <c r="L49" s="8"/>
      <c r="M49" s="32"/>
      <c r="N49" s="45"/>
      <c r="O49" s="46"/>
      <c r="P49" s="80"/>
      <c r="Q49" s="40">
        <f t="shared" si="2"/>
        <v>0</v>
      </c>
      <c r="R49" s="11"/>
    </row>
    <row r="50" spans="2:18" x14ac:dyDescent="0.25">
      <c r="B50" s="88"/>
      <c r="C50" s="30"/>
      <c r="D50" s="31"/>
      <c r="E50" s="31"/>
      <c r="F50" s="31"/>
      <c r="G50" s="33"/>
      <c r="H50" s="32"/>
      <c r="I50" s="32"/>
      <c r="J50" s="32"/>
      <c r="K50" s="59"/>
      <c r="L50" s="72"/>
      <c r="M50" s="44"/>
      <c r="N50" s="45"/>
      <c r="O50" s="46"/>
      <c r="P50" s="47"/>
      <c r="Q50" s="40"/>
      <c r="R50" s="11"/>
    </row>
    <row r="51" spans="2:18" x14ac:dyDescent="0.25">
      <c r="B51" s="67" t="s">
        <v>57</v>
      </c>
      <c r="C51" s="68">
        <v>220</v>
      </c>
      <c r="D51" s="69"/>
      <c r="E51" s="69"/>
      <c r="F51" s="69"/>
      <c r="G51" s="70"/>
      <c r="H51" s="69"/>
      <c r="I51" s="69"/>
      <c r="J51" s="69"/>
      <c r="K51" s="71"/>
      <c r="L51" s="94"/>
      <c r="M51" s="73"/>
      <c r="N51" s="45"/>
      <c r="O51" s="46"/>
      <c r="P51" s="76"/>
      <c r="Q51" s="40">
        <f t="shared" ref="Q51:Q60" si="3">D51-P51</f>
        <v>0</v>
      </c>
      <c r="R51" s="77"/>
    </row>
    <row r="52" spans="2:18" x14ac:dyDescent="0.25">
      <c r="B52" s="81" t="s">
        <v>58</v>
      </c>
      <c r="C52" s="30">
        <v>221</v>
      </c>
      <c r="D52" s="31"/>
      <c r="E52" s="31"/>
      <c r="F52" s="31"/>
      <c r="G52" s="82"/>
      <c r="H52" s="31"/>
      <c r="I52" s="32"/>
      <c r="J52" s="32"/>
      <c r="K52" s="59"/>
      <c r="L52" s="8"/>
      <c r="M52" s="44"/>
      <c r="N52" s="45"/>
      <c r="O52" s="46"/>
      <c r="P52" s="47"/>
      <c r="Q52" s="40">
        <f t="shared" si="3"/>
        <v>0</v>
      </c>
      <c r="R52" s="11"/>
    </row>
    <row r="53" spans="2:18" x14ac:dyDescent="0.25">
      <c r="B53" s="95" t="s">
        <v>59</v>
      </c>
      <c r="C53" s="96">
        <v>222</v>
      </c>
      <c r="D53" s="32">
        <v>39320000</v>
      </c>
      <c r="E53" s="32"/>
      <c r="F53" s="32"/>
      <c r="G53" s="79"/>
      <c r="H53" s="32"/>
      <c r="I53" s="32"/>
      <c r="J53" s="97"/>
      <c r="K53" s="59"/>
      <c r="L53" s="8"/>
      <c r="M53" s="32"/>
      <c r="N53" s="45"/>
      <c r="O53" s="46"/>
      <c r="P53" s="80"/>
      <c r="Q53" s="40">
        <f t="shared" si="3"/>
        <v>39320000</v>
      </c>
      <c r="R53" s="11"/>
    </row>
    <row r="54" spans="2:18" x14ac:dyDescent="0.25">
      <c r="B54" s="95" t="s">
        <v>60</v>
      </c>
      <c r="C54" s="96">
        <v>223</v>
      </c>
      <c r="D54" s="32">
        <v>-38282358</v>
      </c>
      <c r="E54" s="32"/>
      <c r="F54" s="32"/>
      <c r="G54" s="79"/>
      <c r="H54" s="32"/>
      <c r="I54" s="32"/>
      <c r="J54" s="97"/>
      <c r="K54" s="59"/>
      <c r="L54" s="8"/>
      <c r="M54" s="32"/>
      <c r="N54" s="45"/>
      <c r="O54" s="46"/>
      <c r="P54" s="80"/>
      <c r="Q54" s="40">
        <f t="shared" si="3"/>
        <v>-38282358</v>
      </c>
      <c r="R54" s="11"/>
    </row>
    <row r="55" spans="2:18" x14ac:dyDescent="0.25">
      <c r="B55" s="81" t="s">
        <v>61</v>
      </c>
      <c r="C55" s="30">
        <v>224</v>
      </c>
      <c r="D55" s="31"/>
      <c r="E55" s="31"/>
      <c r="F55" s="31"/>
      <c r="G55" s="82"/>
      <c r="H55" s="31"/>
      <c r="I55" s="31"/>
      <c r="J55" s="32"/>
      <c r="K55" s="59"/>
      <c r="L55" s="8"/>
      <c r="M55" s="44"/>
      <c r="N55" s="45"/>
      <c r="O55" s="46"/>
      <c r="P55" s="47"/>
      <c r="Q55" s="40">
        <f t="shared" si="3"/>
        <v>0</v>
      </c>
      <c r="R55" s="11"/>
    </row>
    <row r="56" spans="2:18" x14ac:dyDescent="0.25">
      <c r="B56" s="95" t="s">
        <v>59</v>
      </c>
      <c r="C56" s="30">
        <v>225</v>
      </c>
      <c r="D56" s="32"/>
      <c r="E56" s="32"/>
      <c r="F56" s="32"/>
      <c r="G56" s="85"/>
      <c r="H56" s="32"/>
      <c r="I56" s="32"/>
      <c r="J56" s="32"/>
      <c r="K56" s="59"/>
      <c r="L56" s="8"/>
      <c r="M56" s="32"/>
      <c r="N56" s="45"/>
      <c r="O56" s="46"/>
      <c r="P56" s="80"/>
      <c r="Q56" s="40">
        <f t="shared" si="3"/>
        <v>0</v>
      </c>
      <c r="R56" s="11"/>
    </row>
    <row r="57" spans="2:18" x14ac:dyDescent="0.25">
      <c r="B57" s="95" t="s">
        <v>60</v>
      </c>
      <c r="C57" s="30">
        <v>226</v>
      </c>
      <c r="D57" s="32"/>
      <c r="E57" s="32"/>
      <c r="F57" s="32"/>
      <c r="G57" s="85"/>
      <c r="H57" s="32"/>
      <c r="I57" s="32"/>
      <c r="J57" s="32"/>
      <c r="K57" s="59"/>
      <c r="L57" s="8"/>
      <c r="M57" s="32"/>
      <c r="N57" s="45"/>
      <c r="O57" s="46"/>
      <c r="P57" s="80"/>
      <c r="Q57" s="40">
        <f t="shared" si="3"/>
        <v>0</v>
      </c>
      <c r="R57" s="11"/>
    </row>
    <row r="58" spans="2:18" x14ac:dyDescent="0.25">
      <c r="B58" s="81" t="s">
        <v>62</v>
      </c>
      <c r="C58" s="30">
        <v>227</v>
      </c>
      <c r="D58" s="31"/>
      <c r="E58" s="31"/>
      <c r="F58" s="31"/>
      <c r="G58" s="82"/>
      <c r="H58" s="31"/>
      <c r="I58" s="32"/>
      <c r="J58" s="32"/>
      <c r="K58" s="59"/>
      <c r="L58" s="8"/>
      <c r="M58" s="44"/>
      <c r="N58" s="45"/>
      <c r="O58" s="46"/>
      <c r="P58" s="47"/>
      <c r="Q58" s="40">
        <f t="shared" si="3"/>
        <v>0</v>
      </c>
      <c r="R58" s="11"/>
    </row>
    <row r="59" spans="2:18" x14ac:dyDescent="0.25">
      <c r="B59" s="95" t="s">
        <v>59</v>
      </c>
      <c r="C59" s="96">
        <v>228</v>
      </c>
      <c r="D59" s="32"/>
      <c r="E59" s="32"/>
      <c r="F59" s="32"/>
      <c r="G59" s="79"/>
      <c r="H59" s="32"/>
      <c r="I59" s="32"/>
      <c r="J59" s="97"/>
      <c r="K59" s="59"/>
      <c r="L59" s="8"/>
      <c r="M59" s="32"/>
      <c r="N59" s="45"/>
      <c r="O59" s="46"/>
      <c r="P59" s="80"/>
      <c r="Q59" s="40">
        <f t="shared" si="3"/>
        <v>0</v>
      </c>
      <c r="R59" s="11"/>
    </row>
    <row r="60" spans="2:18" x14ac:dyDescent="0.25">
      <c r="B60" s="95" t="s">
        <v>63</v>
      </c>
      <c r="C60" s="96">
        <v>229</v>
      </c>
      <c r="D60" s="32"/>
      <c r="E60" s="32"/>
      <c r="F60" s="32"/>
      <c r="G60" s="79"/>
      <c r="H60" s="32"/>
      <c r="I60" s="32"/>
      <c r="J60" s="97"/>
      <c r="K60" s="59"/>
      <c r="L60" s="8"/>
      <c r="M60" s="32"/>
      <c r="N60" s="45"/>
      <c r="O60" s="46"/>
      <c r="P60" s="80"/>
      <c r="Q60" s="40">
        <f t="shared" si="3"/>
        <v>0</v>
      </c>
      <c r="R60" s="11"/>
    </row>
    <row r="61" spans="2:18" x14ac:dyDescent="0.25">
      <c r="B61" s="81"/>
      <c r="C61" s="30"/>
      <c r="D61" s="31"/>
      <c r="E61" s="31"/>
      <c r="F61" s="31"/>
      <c r="G61" s="82"/>
      <c r="H61" s="31"/>
      <c r="I61" s="31"/>
      <c r="J61" s="32"/>
      <c r="K61" s="59"/>
      <c r="L61" s="8"/>
      <c r="M61" s="44"/>
      <c r="N61" s="83"/>
      <c r="O61" s="46"/>
      <c r="P61" s="47"/>
      <c r="Q61" s="40"/>
      <c r="R61" s="11"/>
    </row>
    <row r="62" spans="2:18" x14ac:dyDescent="0.25">
      <c r="B62" s="67" t="s">
        <v>64</v>
      </c>
      <c r="C62" s="68">
        <v>230</v>
      </c>
      <c r="D62" s="69"/>
      <c r="E62" s="69"/>
      <c r="F62" s="69"/>
      <c r="G62" s="70"/>
      <c r="H62" s="69"/>
      <c r="I62" s="69"/>
      <c r="J62" s="69"/>
      <c r="K62" s="71"/>
      <c r="L62" s="72"/>
      <c r="M62" s="73"/>
      <c r="N62" s="45"/>
      <c r="O62" s="46"/>
      <c r="P62" s="76"/>
      <c r="Q62" s="40">
        <f>D62-P62</f>
        <v>0</v>
      </c>
      <c r="R62" s="77"/>
    </row>
    <row r="63" spans="2:18" x14ac:dyDescent="0.25">
      <c r="B63" s="81" t="s">
        <v>65</v>
      </c>
      <c r="C63" s="30">
        <v>231</v>
      </c>
      <c r="D63" s="32"/>
      <c r="E63" s="32"/>
      <c r="F63" s="32"/>
      <c r="G63" s="85"/>
      <c r="H63" s="32"/>
      <c r="I63" s="32"/>
      <c r="J63" s="32"/>
      <c r="K63" s="59"/>
      <c r="L63" s="8"/>
      <c r="M63" s="32"/>
      <c r="N63" s="45"/>
      <c r="O63" s="46"/>
      <c r="P63" s="80"/>
      <c r="Q63" s="40">
        <f>D63-P63</f>
        <v>0</v>
      </c>
      <c r="R63" s="11"/>
    </row>
    <row r="64" spans="2:18" x14ac:dyDescent="0.25">
      <c r="B64" s="81" t="s">
        <v>66</v>
      </c>
      <c r="C64" s="30">
        <v>232</v>
      </c>
      <c r="D64" s="32"/>
      <c r="E64" s="32"/>
      <c r="F64" s="32"/>
      <c r="G64" s="85"/>
      <c r="H64" s="32"/>
      <c r="I64" s="32"/>
      <c r="J64" s="32"/>
      <c r="K64" s="59"/>
      <c r="L64" s="8"/>
      <c r="M64" s="32"/>
      <c r="N64" s="45"/>
      <c r="O64" s="46"/>
      <c r="P64" s="80"/>
      <c r="Q64" s="40">
        <f>D64-P64</f>
        <v>0</v>
      </c>
      <c r="R64" s="11"/>
    </row>
    <row r="65" spans="2:18" x14ac:dyDescent="0.25">
      <c r="B65" s="81"/>
      <c r="C65" s="30"/>
      <c r="D65" s="31"/>
      <c r="E65" s="31"/>
      <c r="F65" s="31"/>
      <c r="G65" s="82"/>
      <c r="H65" s="31"/>
      <c r="I65" s="31"/>
      <c r="J65" s="32"/>
      <c r="K65" s="59"/>
      <c r="L65" s="8"/>
      <c r="M65" s="44"/>
      <c r="N65" s="83"/>
      <c r="O65" s="46"/>
      <c r="P65" s="47"/>
      <c r="Q65" s="40"/>
      <c r="R65" s="11"/>
    </row>
    <row r="66" spans="2:18" ht="14.25" customHeight="1" x14ac:dyDescent="0.25">
      <c r="B66" s="67" t="s">
        <v>67</v>
      </c>
      <c r="C66" s="50">
        <v>240</v>
      </c>
      <c r="D66" s="57"/>
      <c r="E66" s="57"/>
      <c r="F66" s="57"/>
      <c r="G66" s="58"/>
      <c r="H66" s="57"/>
      <c r="I66" s="57"/>
      <c r="J66" s="57"/>
      <c r="K66" s="59"/>
      <c r="L66" s="72"/>
      <c r="M66" s="44"/>
      <c r="N66" s="83"/>
      <c r="O66" s="46"/>
      <c r="P66" s="63"/>
      <c r="Q66" s="40">
        <f>D66-P66</f>
        <v>0</v>
      </c>
      <c r="R66" s="11"/>
    </row>
    <row r="67" spans="2:18" x14ac:dyDescent="0.25">
      <c r="B67" s="98" t="s">
        <v>68</v>
      </c>
      <c r="C67" s="30">
        <v>241</v>
      </c>
      <c r="D67" s="32"/>
      <c r="E67" s="32"/>
      <c r="F67" s="32"/>
      <c r="G67" s="85"/>
      <c r="H67" s="32"/>
      <c r="I67" s="32"/>
      <c r="J67" s="32"/>
      <c r="K67" s="59"/>
      <c r="L67" s="8"/>
      <c r="M67" s="32"/>
      <c r="N67" s="83"/>
      <c r="O67" s="46"/>
      <c r="P67" s="80"/>
      <c r="Q67" s="40">
        <f>D67-P67</f>
        <v>0</v>
      </c>
      <c r="R67" s="11"/>
    </row>
    <row r="68" spans="2:18" x14ac:dyDescent="0.25">
      <c r="B68" s="99" t="s">
        <v>69</v>
      </c>
      <c r="C68" s="30">
        <v>242</v>
      </c>
      <c r="D68" s="32"/>
      <c r="E68" s="32"/>
      <c r="F68" s="32"/>
      <c r="G68" s="85"/>
      <c r="H68" s="32"/>
      <c r="I68" s="32"/>
      <c r="J68" s="32"/>
      <c r="K68" s="59"/>
      <c r="L68" s="8"/>
      <c r="M68" s="32"/>
      <c r="N68" s="83"/>
      <c r="O68" s="46"/>
      <c r="P68" s="80"/>
      <c r="Q68" s="40">
        <f>D68-P68</f>
        <v>0</v>
      </c>
      <c r="R68" s="11"/>
    </row>
    <row r="69" spans="2:18" x14ac:dyDescent="0.25">
      <c r="B69" s="81"/>
      <c r="C69" s="30"/>
      <c r="D69" s="31"/>
      <c r="E69" s="31"/>
      <c r="F69" s="31"/>
      <c r="G69" s="82"/>
      <c r="H69" s="31"/>
      <c r="I69" s="31"/>
      <c r="J69" s="32"/>
      <c r="K69" s="59"/>
      <c r="L69" s="8"/>
      <c r="M69" s="44"/>
      <c r="N69" s="83"/>
      <c r="O69" s="46"/>
      <c r="P69" s="47"/>
      <c r="Q69" s="40"/>
      <c r="R69" s="11"/>
    </row>
    <row r="70" spans="2:18" x14ac:dyDescent="0.25">
      <c r="B70" s="67" t="s">
        <v>70</v>
      </c>
      <c r="C70" s="68">
        <v>250</v>
      </c>
      <c r="D70" s="69"/>
      <c r="E70" s="69"/>
      <c r="F70" s="69"/>
      <c r="G70" s="70"/>
      <c r="H70" s="69"/>
      <c r="I70" s="69"/>
      <c r="J70" s="69"/>
      <c r="K70" s="100"/>
      <c r="L70" s="72"/>
      <c r="M70" s="73"/>
      <c r="N70" s="101"/>
      <c r="O70" s="75"/>
      <c r="P70" s="76"/>
      <c r="Q70" s="40">
        <f t="shared" ref="Q70:Q75" si="4">D70-P70</f>
        <v>0</v>
      </c>
      <c r="R70" s="77"/>
    </row>
    <row r="71" spans="2:18" x14ac:dyDescent="0.25">
      <c r="B71" s="88" t="s">
        <v>71</v>
      </c>
      <c r="C71" s="30">
        <v>251</v>
      </c>
      <c r="D71" s="32"/>
      <c r="E71" s="32"/>
      <c r="F71" s="32"/>
      <c r="G71" s="85"/>
      <c r="H71" s="32"/>
      <c r="I71" s="32"/>
      <c r="J71" s="32"/>
      <c r="K71" s="59"/>
      <c r="L71" s="8"/>
      <c r="M71" s="32"/>
      <c r="N71" s="83"/>
      <c r="O71" s="46"/>
      <c r="P71" s="80"/>
      <c r="Q71" s="40">
        <f t="shared" si="4"/>
        <v>0</v>
      </c>
      <c r="R71" s="11"/>
    </row>
    <row r="72" spans="2:18" ht="15" customHeight="1" x14ac:dyDescent="0.25">
      <c r="B72" s="88" t="s">
        <v>72</v>
      </c>
      <c r="C72" s="30">
        <v>252</v>
      </c>
      <c r="D72" s="32"/>
      <c r="E72" s="32"/>
      <c r="F72" s="32"/>
      <c r="G72" s="85"/>
      <c r="H72" s="32"/>
      <c r="I72" s="32"/>
      <c r="J72" s="32"/>
      <c r="K72" s="59"/>
      <c r="L72" s="8"/>
      <c r="M72" s="32"/>
      <c r="N72" s="83"/>
      <c r="O72" s="46"/>
      <c r="P72" s="80"/>
      <c r="Q72" s="40">
        <f t="shared" si="4"/>
        <v>0</v>
      </c>
      <c r="R72" s="11"/>
    </row>
    <row r="73" spans="2:18" ht="15" customHeight="1" x14ac:dyDescent="0.25">
      <c r="B73" s="88" t="s">
        <v>73</v>
      </c>
      <c r="C73" s="30">
        <v>253</v>
      </c>
      <c r="D73" s="32"/>
      <c r="E73" s="32"/>
      <c r="F73" s="32"/>
      <c r="G73" s="79"/>
      <c r="H73" s="32"/>
      <c r="I73" s="32"/>
      <c r="J73" s="32"/>
      <c r="K73" s="59"/>
      <c r="L73" s="8"/>
      <c r="M73" s="32"/>
      <c r="N73" s="45"/>
      <c r="O73" s="46"/>
      <c r="P73" s="80"/>
      <c r="Q73" s="40">
        <f t="shared" si="4"/>
        <v>0</v>
      </c>
      <c r="R73" s="102"/>
    </row>
    <row r="74" spans="2:18" ht="25.5" customHeight="1" x14ac:dyDescent="0.25">
      <c r="B74" s="88" t="s">
        <v>74</v>
      </c>
      <c r="C74" s="30">
        <v>254</v>
      </c>
      <c r="D74" s="32"/>
      <c r="E74" s="32"/>
      <c r="F74" s="32"/>
      <c r="G74" s="85"/>
      <c r="H74" s="32"/>
      <c r="I74" s="32"/>
      <c r="J74" s="32"/>
      <c r="K74" s="59"/>
      <c r="L74" s="8"/>
      <c r="M74" s="32"/>
      <c r="N74" s="83"/>
      <c r="O74" s="46"/>
      <c r="P74" s="80"/>
      <c r="Q74" s="40">
        <f t="shared" si="4"/>
        <v>0</v>
      </c>
      <c r="R74" s="11"/>
    </row>
    <row r="75" spans="2:18" x14ac:dyDescent="0.25">
      <c r="B75" s="88" t="s">
        <v>75</v>
      </c>
      <c r="C75" s="30">
        <v>255</v>
      </c>
      <c r="D75" s="32"/>
      <c r="E75" s="32"/>
      <c r="F75" s="32"/>
      <c r="G75" s="85"/>
      <c r="H75" s="32"/>
      <c r="I75" s="32"/>
      <c r="J75" s="32"/>
      <c r="K75" s="59"/>
      <c r="L75" s="8"/>
      <c r="M75" s="32"/>
      <c r="N75" s="83"/>
      <c r="O75" s="46"/>
      <c r="P75" s="80"/>
      <c r="Q75" s="40">
        <f t="shared" si="4"/>
        <v>0</v>
      </c>
      <c r="R75" s="11"/>
    </row>
    <row r="76" spans="2:18" x14ac:dyDescent="0.25">
      <c r="B76" s="88"/>
      <c r="C76" s="30"/>
      <c r="D76" s="31"/>
      <c r="E76" s="31"/>
      <c r="F76" s="31"/>
      <c r="G76" s="33"/>
      <c r="H76" s="32"/>
      <c r="I76" s="32"/>
      <c r="J76" s="32"/>
      <c r="K76" s="59"/>
      <c r="L76" s="72"/>
      <c r="M76" s="44"/>
      <c r="N76" s="45"/>
      <c r="O76" s="46"/>
      <c r="P76" s="47"/>
      <c r="Q76" s="40"/>
      <c r="R76" s="11"/>
    </row>
    <row r="77" spans="2:18" x14ac:dyDescent="0.25">
      <c r="B77" s="67" t="s">
        <v>76</v>
      </c>
      <c r="C77" s="68">
        <v>260</v>
      </c>
      <c r="D77" s="69"/>
      <c r="E77" s="69"/>
      <c r="F77" s="69"/>
      <c r="G77" s="70"/>
      <c r="H77" s="69"/>
      <c r="I77" s="69"/>
      <c r="J77" s="69"/>
      <c r="K77" s="71"/>
      <c r="L77" s="72"/>
      <c r="M77" s="73"/>
      <c r="N77" s="74"/>
      <c r="O77" s="75"/>
      <c r="P77" s="76"/>
      <c r="Q77" s="40">
        <f t="shared" ref="Q77:Q82" si="5">D77-P77</f>
        <v>0</v>
      </c>
      <c r="R77" s="77"/>
    </row>
    <row r="78" spans="2:18" x14ac:dyDescent="0.25">
      <c r="B78" s="81" t="s">
        <v>77</v>
      </c>
      <c r="C78" s="30">
        <v>261</v>
      </c>
      <c r="D78" s="32">
        <v>61161494</v>
      </c>
      <c r="E78" s="32"/>
      <c r="F78" s="32"/>
      <c r="G78" s="79"/>
      <c r="H78" s="32"/>
      <c r="I78" s="32"/>
      <c r="J78" s="32"/>
      <c r="K78" s="59"/>
      <c r="L78" s="8"/>
      <c r="M78" s="32"/>
      <c r="N78" s="45"/>
      <c r="O78" s="46"/>
      <c r="P78" s="80"/>
      <c r="Q78" s="40">
        <f t="shared" si="5"/>
        <v>61161494</v>
      </c>
      <c r="R78" s="89"/>
    </row>
    <row r="79" spans="2:18" x14ac:dyDescent="0.25">
      <c r="B79" s="81" t="s">
        <v>78</v>
      </c>
      <c r="C79" s="30">
        <v>262</v>
      </c>
      <c r="D79" s="32"/>
      <c r="E79" s="32"/>
      <c r="F79" s="32"/>
      <c r="G79" s="79"/>
      <c r="H79" s="32"/>
      <c r="I79" s="32"/>
      <c r="J79" s="32"/>
      <c r="K79" s="59"/>
      <c r="L79" s="8"/>
      <c r="M79" s="32"/>
      <c r="N79" s="45"/>
      <c r="O79" s="46"/>
      <c r="P79" s="80"/>
      <c r="Q79" s="40">
        <f t="shared" si="5"/>
        <v>0</v>
      </c>
      <c r="R79" s="11"/>
    </row>
    <row r="80" spans="2:18" x14ac:dyDescent="0.25">
      <c r="B80" s="81" t="s">
        <v>79</v>
      </c>
      <c r="C80" s="30">
        <v>263</v>
      </c>
      <c r="D80" s="32"/>
      <c r="E80" s="32"/>
      <c r="F80" s="32"/>
      <c r="G80" s="79"/>
      <c r="H80" s="32"/>
      <c r="I80" s="32"/>
      <c r="J80" s="32"/>
      <c r="K80" s="59"/>
      <c r="L80" s="8"/>
      <c r="M80" s="32"/>
      <c r="N80" s="45"/>
      <c r="O80" s="46"/>
      <c r="P80" s="80"/>
      <c r="Q80" s="40">
        <f t="shared" si="5"/>
        <v>0</v>
      </c>
      <c r="R80" s="11"/>
    </row>
    <row r="81" spans="2:18" x14ac:dyDescent="0.25">
      <c r="B81" s="81" t="s">
        <v>80</v>
      </c>
      <c r="C81" s="30">
        <v>268</v>
      </c>
      <c r="D81" s="32"/>
      <c r="E81" s="32"/>
      <c r="F81" s="32"/>
      <c r="G81" s="79"/>
      <c r="H81" s="32"/>
      <c r="I81" s="32"/>
      <c r="J81" s="32"/>
      <c r="K81" s="59"/>
      <c r="L81" s="8"/>
      <c r="M81" s="32"/>
      <c r="N81" s="45"/>
      <c r="O81" s="46"/>
      <c r="P81" s="80"/>
      <c r="Q81" s="40">
        <f t="shared" si="5"/>
        <v>0</v>
      </c>
      <c r="R81" s="87"/>
    </row>
    <row r="82" spans="2:18" x14ac:dyDescent="0.25">
      <c r="B82" s="81" t="s">
        <v>81</v>
      </c>
      <c r="C82" s="30">
        <v>269</v>
      </c>
      <c r="D82" s="32"/>
      <c r="E82" s="32"/>
      <c r="F82" s="32"/>
      <c r="G82" s="79"/>
      <c r="H82" s="32"/>
      <c r="I82" s="32"/>
      <c r="J82" s="32"/>
      <c r="K82" s="59"/>
      <c r="L82" s="8"/>
      <c r="M82" s="32"/>
      <c r="N82" s="45"/>
      <c r="O82" s="46"/>
      <c r="P82" s="80"/>
      <c r="Q82" s="40">
        <f t="shared" si="5"/>
        <v>0</v>
      </c>
      <c r="R82" s="11"/>
    </row>
    <row r="83" spans="2:18" ht="14.25" customHeight="1" x14ac:dyDescent="0.25">
      <c r="B83" s="50"/>
      <c r="C83" s="50"/>
      <c r="D83" s="57"/>
      <c r="E83" s="57"/>
      <c r="F83" s="57"/>
      <c r="G83" s="65"/>
      <c r="H83" s="64"/>
      <c r="I83" s="64"/>
      <c r="J83" s="32"/>
      <c r="K83" s="59"/>
      <c r="L83" s="8"/>
      <c r="M83" s="91"/>
      <c r="N83" s="92"/>
      <c r="O83" s="93"/>
      <c r="P83" s="63"/>
      <c r="Q83" s="40"/>
      <c r="R83" s="11"/>
    </row>
    <row r="84" spans="2:18" ht="14.25" customHeight="1" x14ac:dyDescent="0.25">
      <c r="B84" s="56" t="s">
        <v>82</v>
      </c>
      <c r="C84" s="50">
        <v>270</v>
      </c>
      <c r="D84" s="57">
        <v>0</v>
      </c>
      <c r="E84" s="57"/>
      <c r="F84" s="57"/>
      <c r="G84" s="58"/>
      <c r="H84" s="57"/>
      <c r="I84" s="57"/>
      <c r="J84" s="57"/>
      <c r="K84" s="59"/>
      <c r="L84" s="8"/>
      <c r="M84" s="60"/>
      <c r="N84" s="61"/>
      <c r="O84" s="62"/>
      <c r="P84" s="63"/>
      <c r="Q84" s="40">
        <f t="shared" ref="Q84:Q104" si="6">D84-P84</f>
        <v>0</v>
      </c>
      <c r="R84" s="11"/>
    </row>
    <row r="85" spans="2:18" x14ac:dyDescent="0.25">
      <c r="B85" s="90"/>
      <c r="C85" s="30"/>
      <c r="D85" s="31"/>
      <c r="E85" s="31"/>
      <c r="F85" s="31"/>
      <c r="G85" s="33"/>
      <c r="H85" s="32"/>
      <c r="I85" s="32"/>
      <c r="J85" s="32"/>
      <c r="K85" s="34"/>
      <c r="L85" s="8"/>
      <c r="M85" s="44"/>
      <c r="N85" s="45"/>
      <c r="O85" s="46"/>
      <c r="P85" s="47"/>
      <c r="Q85" s="40">
        <f t="shared" si="6"/>
        <v>0</v>
      </c>
      <c r="R85" s="11"/>
    </row>
    <row r="86" spans="2:18" x14ac:dyDescent="0.25">
      <c r="B86" s="56" t="s">
        <v>83</v>
      </c>
      <c r="C86" s="30"/>
      <c r="D86" s="31"/>
      <c r="E86" s="31"/>
      <c r="F86" s="31"/>
      <c r="G86" s="33"/>
      <c r="H86" s="32"/>
      <c r="I86" s="32"/>
      <c r="J86" s="32"/>
      <c r="K86" s="34"/>
      <c r="L86" s="8"/>
      <c r="M86" s="44"/>
      <c r="N86" s="45"/>
      <c r="O86" s="46"/>
      <c r="P86" s="47"/>
      <c r="Q86" s="40">
        <f t="shared" si="6"/>
        <v>0</v>
      </c>
      <c r="R86" s="11"/>
    </row>
    <row r="87" spans="2:18" ht="14.25" customHeight="1" x14ac:dyDescent="0.25">
      <c r="B87" s="90"/>
      <c r="C87" s="50"/>
      <c r="D87" s="57"/>
      <c r="E87" s="57"/>
      <c r="F87" s="57"/>
      <c r="G87" s="65"/>
      <c r="H87" s="64"/>
      <c r="I87" s="64"/>
      <c r="J87" s="32"/>
      <c r="K87" s="34"/>
      <c r="L87" s="8"/>
      <c r="M87" s="91"/>
      <c r="N87" s="92"/>
      <c r="O87" s="93"/>
      <c r="P87" s="63"/>
      <c r="Q87" s="40">
        <f t="shared" si="6"/>
        <v>0</v>
      </c>
      <c r="R87" s="11"/>
    </row>
    <row r="88" spans="2:18" ht="14.25" customHeight="1" x14ac:dyDescent="0.25">
      <c r="B88" s="56" t="s">
        <v>84</v>
      </c>
      <c r="C88" s="50">
        <v>300</v>
      </c>
      <c r="D88" s="57">
        <v>0</v>
      </c>
      <c r="E88" s="57"/>
      <c r="F88" s="57"/>
      <c r="G88" s="58"/>
      <c r="H88" s="57"/>
      <c r="I88" s="57"/>
      <c r="J88" s="57"/>
      <c r="K88" s="59"/>
      <c r="L88" s="8"/>
      <c r="M88" s="64"/>
      <c r="N88" s="103"/>
      <c r="O88" s="104"/>
      <c r="P88" s="63"/>
      <c r="Q88" s="40">
        <f t="shared" si="6"/>
        <v>0</v>
      </c>
      <c r="R88" s="89"/>
    </row>
    <row r="89" spans="2:18" ht="14.25" customHeight="1" x14ac:dyDescent="0.25">
      <c r="B89" s="56"/>
      <c r="C89" s="50"/>
      <c r="D89" s="57"/>
      <c r="E89" s="57"/>
      <c r="F89" s="57"/>
      <c r="G89" s="65"/>
      <c r="H89" s="64"/>
      <c r="I89" s="64"/>
      <c r="J89" s="64"/>
      <c r="K89" s="66"/>
      <c r="L89" s="8"/>
      <c r="M89" s="64"/>
      <c r="N89" s="103"/>
      <c r="O89" s="104"/>
      <c r="P89" s="63"/>
      <c r="Q89" s="40">
        <f t="shared" si="6"/>
        <v>0</v>
      </c>
      <c r="R89" s="11"/>
    </row>
    <row r="90" spans="2:18" x14ac:dyDescent="0.25">
      <c r="B90" s="67" t="s">
        <v>85</v>
      </c>
      <c r="C90" s="68">
        <v>310</v>
      </c>
      <c r="D90" s="69"/>
      <c r="E90" s="69"/>
      <c r="F90" s="69"/>
      <c r="G90" s="70"/>
      <c r="H90" s="69"/>
      <c r="I90" s="69"/>
      <c r="J90" s="69"/>
      <c r="K90" s="71"/>
      <c r="L90" s="72"/>
      <c r="M90" s="73"/>
      <c r="N90" s="74"/>
      <c r="O90" s="75"/>
      <c r="P90" s="76"/>
      <c r="Q90" s="40">
        <f t="shared" si="6"/>
        <v>0</v>
      </c>
      <c r="R90" s="77"/>
    </row>
    <row r="91" spans="2:18" x14ac:dyDescent="0.25">
      <c r="B91" s="81" t="s">
        <v>86</v>
      </c>
      <c r="C91" s="30">
        <v>311</v>
      </c>
      <c r="D91" s="32">
        <v>-316791974</v>
      </c>
      <c r="E91" s="32"/>
      <c r="F91" s="32"/>
      <c r="G91" s="79"/>
      <c r="H91" s="32"/>
      <c r="I91" s="32"/>
      <c r="J91" s="32"/>
      <c r="K91" s="59"/>
      <c r="L91" s="8"/>
      <c r="M91" s="32"/>
      <c r="N91" s="45"/>
      <c r="O91" s="46"/>
      <c r="P91" s="80"/>
      <c r="Q91" s="40">
        <f t="shared" si="6"/>
        <v>-316791974</v>
      </c>
      <c r="R91" s="20"/>
    </row>
    <row r="92" spans="2:18" x14ac:dyDescent="0.25">
      <c r="B92" s="81" t="s">
        <v>87</v>
      </c>
      <c r="C92" s="30">
        <v>312</v>
      </c>
      <c r="D92" s="32">
        <v>-120009600</v>
      </c>
      <c r="E92" s="32"/>
      <c r="F92" s="32"/>
      <c r="G92" s="79"/>
      <c r="H92" s="32"/>
      <c r="I92" s="32"/>
      <c r="J92" s="32"/>
      <c r="K92" s="59"/>
      <c r="L92" s="8"/>
      <c r="M92" s="32"/>
      <c r="N92" s="45"/>
      <c r="O92" s="46"/>
      <c r="P92" s="80"/>
      <c r="Q92" s="40">
        <f t="shared" si="6"/>
        <v>-120009600</v>
      </c>
      <c r="R92" s="20"/>
    </row>
    <row r="93" spans="2:18" x14ac:dyDescent="0.25">
      <c r="B93" s="81" t="s">
        <v>88</v>
      </c>
      <c r="C93" s="30">
        <v>313</v>
      </c>
      <c r="D93" s="32">
        <v>-337566313</v>
      </c>
      <c r="E93" s="32"/>
      <c r="F93" s="32"/>
      <c r="G93" s="85"/>
      <c r="H93" s="32"/>
      <c r="I93" s="32"/>
      <c r="J93" s="32"/>
      <c r="K93" s="59"/>
      <c r="L93" s="8"/>
      <c r="M93" s="32"/>
      <c r="N93" s="83"/>
      <c r="O93" s="46"/>
      <c r="P93" s="80"/>
      <c r="Q93" s="40">
        <f t="shared" si="6"/>
        <v>-337566313</v>
      </c>
      <c r="R93" s="20"/>
    </row>
    <row r="94" spans="2:18" x14ac:dyDescent="0.25">
      <c r="B94" s="81" t="s">
        <v>89</v>
      </c>
      <c r="C94" s="30">
        <v>314</v>
      </c>
      <c r="D94" s="32">
        <v>-37232786</v>
      </c>
      <c r="E94" s="32"/>
      <c r="F94" s="32"/>
      <c r="G94" s="79"/>
      <c r="H94" s="32"/>
      <c r="I94" s="32"/>
      <c r="J94" s="32"/>
      <c r="K94" s="59"/>
      <c r="L94" s="8"/>
      <c r="M94" s="32"/>
      <c r="N94" s="45"/>
      <c r="O94" s="46"/>
      <c r="P94" s="80"/>
      <c r="Q94" s="40">
        <f t="shared" si="6"/>
        <v>-37232786</v>
      </c>
      <c r="R94" s="20"/>
    </row>
    <row r="95" spans="2:18" x14ac:dyDescent="0.25">
      <c r="B95" s="81" t="s">
        <v>90</v>
      </c>
      <c r="C95" s="30">
        <v>315</v>
      </c>
      <c r="D95" s="32">
        <v>-167202194</v>
      </c>
      <c r="E95" s="32"/>
      <c r="F95" s="32"/>
      <c r="G95" s="79"/>
      <c r="H95" s="32"/>
      <c r="I95" s="32"/>
      <c r="J95" s="32"/>
      <c r="K95" s="59"/>
      <c r="L95" s="8"/>
      <c r="M95" s="32"/>
      <c r="N95" s="45"/>
      <c r="O95" s="46"/>
      <c r="P95" s="80"/>
      <c r="Q95" s="40">
        <f t="shared" si="6"/>
        <v>-167202194</v>
      </c>
      <c r="R95" s="20"/>
    </row>
    <row r="96" spans="2:18" x14ac:dyDescent="0.25">
      <c r="B96" s="81" t="s">
        <v>91</v>
      </c>
      <c r="C96" s="30">
        <v>316</v>
      </c>
      <c r="D96" s="32"/>
      <c r="E96" s="32"/>
      <c r="F96" s="32"/>
      <c r="G96" s="79"/>
      <c r="H96" s="32"/>
      <c r="I96" s="32"/>
      <c r="J96" s="32"/>
      <c r="K96" s="59"/>
      <c r="L96" s="8"/>
      <c r="M96" s="32"/>
      <c r="N96" s="45"/>
      <c r="O96" s="46"/>
      <c r="P96" s="80"/>
      <c r="Q96" s="40">
        <f t="shared" si="6"/>
        <v>0</v>
      </c>
      <c r="R96" s="20"/>
    </row>
    <row r="97" spans="2:18" ht="25.5" customHeight="1" x14ac:dyDescent="0.25">
      <c r="B97" s="105" t="s">
        <v>92</v>
      </c>
      <c r="C97" s="30">
        <v>317</v>
      </c>
      <c r="D97" s="32"/>
      <c r="E97" s="32"/>
      <c r="F97" s="32"/>
      <c r="G97" s="85"/>
      <c r="H97" s="32"/>
      <c r="I97" s="32"/>
      <c r="J97" s="32"/>
      <c r="K97" s="59"/>
      <c r="L97" s="8"/>
      <c r="M97" s="32"/>
      <c r="N97" s="83"/>
      <c r="O97" s="46"/>
      <c r="P97" s="80"/>
      <c r="Q97" s="40">
        <f t="shared" si="6"/>
        <v>0</v>
      </c>
      <c r="R97" s="20"/>
    </row>
    <row r="98" spans="2:18" x14ac:dyDescent="0.25">
      <c r="B98" s="81" t="s">
        <v>93</v>
      </c>
      <c r="C98" s="30">
        <v>318</v>
      </c>
      <c r="D98" s="32"/>
      <c r="E98" s="32"/>
      <c r="F98" s="32"/>
      <c r="G98" s="85"/>
      <c r="H98" s="32"/>
      <c r="I98" s="32"/>
      <c r="J98" s="32"/>
      <c r="K98" s="59"/>
      <c r="L98" s="8"/>
      <c r="M98" s="32"/>
      <c r="N98" s="83"/>
      <c r="O98" s="46"/>
      <c r="P98" s="80"/>
      <c r="Q98" s="40">
        <f t="shared" si="6"/>
        <v>0</v>
      </c>
      <c r="R98" s="20"/>
    </row>
    <row r="99" spans="2:18" x14ac:dyDescent="0.25">
      <c r="B99" s="81" t="s">
        <v>94</v>
      </c>
      <c r="C99" s="30">
        <v>319</v>
      </c>
      <c r="D99" s="32">
        <v>-51525307</v>
      </c>
      <c r="E99" s="32"/>
      <c r="F99" s="32"/>
      <c r="G99" s="79"/>
      <c r="H99" s="32"/>
      <c r="I99" s="32"/>
      <c r="J99" s="32"/>
      <c r="K99" s="59"/>
      <c r="L99" s="8"/>
      <c r="M99" s="32"/>
      <c r="N99" s="45"/>
      <c r="O99" s="46"/>
      <c r="P99" s="80"/>
      <c r="Q99" s="40">
        <f t="shared" si="6"/>
        <v>-51525307</v>
      </c>
      <c r="R99" s="20"/>
    </row>
    <row r="100" spans="2:18" ht="25.5" customHeight="1" x14ac:dyDescent="0.25">
      <c r="B100" s="105" t="s">
        <v>95</v>
      </c>
      <c r="C100" s="30">
        <v>320</v>
      </c>
      <c r="D100" s="32"/>
      <c r="E100" s="32"/>
      <c r="F100" s="32"/>
      <c r="G100" s="85"/>
      <c r="H100" s="32"/>
      <c r="I100" s="32"/>
      <c r="J100" s="32"/>
      <c r="K100" s="59"/>
      <c r="L100" s="8"/>
      <c r="M100" s="32"/>
      <c r="N100" s="83"/>
      <c r="O100" s="46"/>
      <c r="P100" s="80"/>
      <c r="Q100" s="40">
        <f t="shared" si="6"/>
        <v>0</v>
      </c>
      <c r="R100" s="20"/>
    </row>
    <row r="101" spans="2:18" x14ac:dyDescent="0.25">
      <c r="B101" s="81" t="s">
        <v>96</v>
      </c>
      <c r="C101" s="30">
        <v>321</v>
      </c>
      <c r="D101" s="32"/>
      <c r="E101" s="32"/>
      <c r="F101" s="32"/>
      <c r="G101" s="85"/>
      <c r="H101" s="32"/>
      <c r="I101" s="32"/>
      <c r="J101" s="32"/>
      <c r="K101" s="59"/>
      <c r="L101" s="8"/>
      <c r="M101" s="32"/>
      <c r="N101" s="83"/>
      <c r="O101" s="46"/>
      <c r="P101" s="80"/>
      <c r="Q101" s="40">
        <f t="shared" si="6"/>
        <v>0</v>
      </c>
      <c r="R101" s="20"/>
    </row>
    <row r="102" spans="2:18" x14ac:dyDescent="0.25">
      <c r="B102" s="81" t="s">
        <v>97</v>
      </c>
      <c r="C102" s="30">
        <v>322</v>
      </c>
      <c r="D102" s="32"/>
      <c r="E102" s="32"/>
      <c r="F102" s="32"/>
      <c r="G102" s="85"/>
      <c r="H102" s="32"/>
      <c r="I102" s="32"/>
      <c r="J102" s="32"/>
      <c r="K102" s="59"/>
      <c r="L102" s="8"/>
      <c r="M102" s="32"/>
      <c r="N102" s="83"/>
      <c r="O102" s="46"/>
      <c r="P102" s="80"/>
      <c r="Q102" s="40">
        <f t="shared" si="6"/>
        <v>0</v>
      </c>
      <c r="R102" s="20"/>
    </row>
    <row r="103" spans="2:18" x14ac:dyDescent="0.25">
      <c r="B103" s="81" t="s">
        <v>98</v>
      </c>
      <c r="C103" s="30">
        <v>323</v>
      </c>
      <c r="D103" s="32"/>
      <c r="E103" s="32"/>
      <c r="F103" s="32"/>
      <c r="G103" s="85"/>
      <c r="H103" s="32"/>
      <c r="I103" s="32"/>
      <c r="J103" s="32"/>
      <c r="K103" s="59"/>
      <c r="L103" s="8"/>
      <c r="M103" s="32"/>
      <c r="N103" s="83"/>
      <c r="O103" s="46"/>
      <c r="P103" s="80"/>
      <c r="Q103" s="40">
        <f t="shared" si="6"/>
        <v>0</v>
      </c>
      <c r="R103" s="20"/>
    </row>
    <row r="104" spans="2:18" x14ac:dyDescent="0.25">
      <c r="B104" s="81" t="s">
        <v>99</v>
      </c>
      <c r="C104" s="30">
        <v>324</v>
      </c>
      <c r="D104" s="32"/>
      <c r="E104" s="32"/>
      <c r="F104" s="32"/>
      <c r="G104" s="85"/>
      <c r="H104" s="32"/>
      <c r="I104" s="32"/>
      <c r="J104" s="32"/>
      <c r="K104" s="59"/>
      <c r="L104" s="8"/>
      <c r="M104" s="32"/>
      <c r="N104" s="83"/>
      <c r="O104" s="46"/>
      <c r="P104" s="80"/>
      <c r="Q104" s="40">
        <f t="shared" si="6"/>
        <v>0</v>
      </c>
      <c r="R104" s="20"/>
    </row>
    <row r="105" spans="2:18" x14ac:dyDescent="0.25">
      <c r="B105" s="81"/>
      <c r="C105" s="30"/>
      <c r="D105" s="31"/>
      <c r="E105" s="31"/>
      <c r="F105" s="31"/>
      <c r="G105" s="82"/>
      <c r="H105" s="31"/>
      <c r="I105" s="31"/>
      <c r="J105" s="32"/>
      <c r="K105" s="59"/>
      <c r="L105" s="8"/>
      <c r="M105" s="44"/>
      <c r="N105" s="83"/>
      <c r="O105" s="46"/>
      <c r="P105" s="47"/>
      <c r="Q105" s="40"/>
      <c r="R105" s="11"/>
    </row>
    <row r="106" spans="2:18" x14ac:dyDescent="0.25">
      <c r="B106" s="67" t="s">
        <v>100</v>
      </c>
      <c r="C106" s="68">
        <v>330</v>
      </c>
      <c r="D106" s="69"/>
      <c r="E106" s="69"/>
      <c r="F106" s="69"/>
      <c r="G106" s="70"/>
      <c r="H106" s="69"/>
      <c r="I106" s="69"/>
      <c r="J106" s="69"/>
      <c r="K106" s="71"/>
      <c r="L106" s="72"/>
      <c r="M106" s="73"/>
      <c r="N106" s="74"/>
      <c r="O106" s="75"/>
      <c r="P106" s="76"/>
      <c r="Q106" s="40">
        <f t="shared" ref="Q106:Q119" si="7">D106-P106</f>
        <v>0</v>
      </c>
      <c r="R106" s="77"/>
    </row>
    <row r="107" spans="2:18" x14ac:dyDescent="0.25">
      <c r="B107" s="88" t="s">
        <v>101</v>
      </c>
      <c r="C107" s="30">
        <v>331</v>
      </c>
      <c r="D107" s="32"/>
      <c r="E107" s="32"/>
      <c r="F107" s="32"/>
      <c r="G107" s="85"/>
      <c r="H107" s="32"/>
      <c r="I107" s="32"/>
      <c r="J107" s="32"/>
      <c r="K107" s="59"/>
      <c r="L107" s="8"/>
      <c r="M107" s="32"/>
      <c r="N107" s="83"/>
      <c r="O107" s="46"/>
      <c r="P107" s="80"/>
      <c r="Q107" s="40">
        <f t="shared" si="7"/>
        <v>0</v>
      </c>
      <c r="R107" s="20"/>
    </row>
    <row r="108" spans="2:18" x14ac:dyDescent="0.25">
      <c r="B108" s="88" t="s">
        <v>102</v>
      </c>
      <c r="C108" s="30">
        <v>332</v>
      </c>
      <c r="D108" s="32"/>
      <c r="E108" s="32"/>
      <c r="F108" s="32"/>
      <c r="G108" s="85"/>
      <c r="H108" s="32"/>
      <c r="I108" s="32"/>
      <c r="J108" s="32"/>
      <c r="K108" s="59"/>
      <c r="L108" s="8"/>
      <c r="M108" s="32"/>
      <c r="N108" s="83"/>
      <c r="O108" s="46"/>
      <c r="P108" s="80"/>
      <c r="Q108" s="40">
        <f t="shared" si="7"/>
        <v>0</v>
      </c>
      <c r="R108" s="20"/>
    </row>
    <row r="109" spans="2:18" x14ac:dyDescent="0.25">
      <c r="B109" s="88" t="s">
        <v>103</v>
      </c>
      <c r="C109" s="30">
        <v>333</v>
      </c>
      <c r="D109" s="32"/>
      <c r="E109" s="32"/>
      <c r="F109" s="32"/>
      <c r="G109" s="85"/>
      <c r="H109" s="32"/>
      <c r="I109" s="32"/>
      <c r="J109" s="32"/>
      <c r="K109" s="59"/>
      <c r="L109" s="8"/>
      <c r="M109" s="32"/>
      <c r="N109" s="83"/>
      <c r="O109" s="46"/>
      <c r="P109" s="80"/>
      <c r="Q109" s="40">
        <f t="shared" si="7"/>
        <v>0</v>
      </c>
      <c r="R109" s="20"/>
    </row>
    <row r="110" spans="2:18" ht="25.5" customHeight="1" x14ac:dyDescent="0.25">
      <c r="B110" s="88" t="s">
        <v>104</v>
      </c>
      <c r="C110" s="30">
        <v>334</v>
      </c>
      <c r="D110" s="32"/>
      <c r="E110" s="32"/>
      <c r="F110" s="32"/>
      <c r="G110" s="79"/>
      <c r="H110" s="32"/>
      <c r="I110" s="32"/>
      <c r="J110" s="32"/>
      <c r="K110" s="59"/>
      <c r="L110" s="8"/>
      <c r="M110" s="32"/>
      <c r="N110" s="45"/>
      <c r="O110" s="46"/>
      <c r="P110" s="80"/>
      <c r="Q110" s="40">
        <f t="shared" si="7"/>
        <v>0</v>
      </c>
      <c r="R110" s="20"/>
    </row>
    <row r="111" spans="2:18" x14ac:dyDescent="0.25">
      <c r="B111" s="88" t="s">
        <v>105</v>
      </c>
      <c r="C111" s="30">
        <v>335</v>
      </c>
      <c r="D111" s="32"/>
      <c r="E111" s="32"/>
      <c r="F111" s="32"/>
      <c r="G111" s="79"/>
      <c r="H111" s="32"/>
      <c r="I111" s="32"/>
      <c r="J111" s="32"/>
      <c r="K111" s="59"/>
      <c r="L111" s="8"/>
      <c r="M111" s="32"/>
      <c r="N111" s="45"/>
      <c r="O111" s="46"/>
      <c r="P111" s="80"/>
      <c r="Q111" s="40">
        <f t="shared" si="7"/>
        <v>0</v>
      </c>
      <c r="R111" s="11"/>
    </row>
    <row r="112" spans="2:18" x14ac:dyDescent="0.25">
      <c r="B112" s="88" t="s">
        <v>106</v>
      </c>
      <c r="C112" s="30">
        <v>336</v>
      </c>
      <c r="D112" s="32"/>
      <c r="E112" s="32"/>
      <c r="F112" s="32"/>
      <c r="G112" s="79"/>
      <c r="H112" s="32"/>
      <c r="I112" s="32"/>
      <c r="J112" s="32"/>
      <c r="K112" s="59"/>
      <c r="L112" s="8"/>
      <c r="M112" s="32"/>
      <c r="N112" s="45"/>
      <c r="O112" s="46"/>
      <c r="P112" s="80"/>
      <c r="Q112" s="40">
        <f t="shared" si="7"/>
        <v>0</v>
      </c>
      <c r="R112" s="11"/>
    </row>
    <row r="113" spans="2:18" x14ac:dyDescent="0.25">
      <c r="B113" s="88" t="s">
        <v>107</v>
      </c>
      <c r="C113" s="30">
        <v>337</v>
      </c>
      <c r="D113" s="32"/>
      <c r="E113" s="32"/>
      <c r="F113" s="32"/>
      <c r="G113" s="85"/>
      <c r="H113" s="32"/>
      <c r="I113" s="32"/>
      <c r="J113" s="32"/>
      <c r="K113" s="59"/>
      <c r="L113" s="8"/>
      <c r="M113" s="32"/>
      <c r="N113" s="83"/>
      <c r="O113" s="46"/>
      <c r="P113" s="80"/>
      <c r="Q113" s="40">
        <f t="shared" si="7"/>
        <v>0</v>
      </c>
      <c r="R113" s="11"/>
    </row>
    <row r="114" spans="2:18" ht="25.5" customHeight="1" x14ac:dyDescent="0.25">
      <c r="B114" s="88" t="s">
        <v>108</v>
      </c>
      <c r="C114" s="30">
        <v>338</v>
      </c>
      <c r="D114" s="32"/>
      <c r="E114" s="32"/>
      <c r="F114" s="32"/>
      <c r="G114" s="85"/>
      <c r="H114" s="32"/>
      <c r="I114" s="32"/>
      <c r="J114" s="32"/>
      <c r="K114" s="59"/>
      <c r="L114" s="8"/>
      <c r="M114" s="32"/>
      <c r="N114" s="83"/>
      <c r="O114" s="46"/>
      <c r="P114" s="80"/>
      <c r="Q114" s="40">
        <f t="shared" si="7"/>
        <v>0</v>
      </c>
      <c r="R114" s="11"/>
    </row>
    <row r="115" spans="2:18" x14ac:dyDescent="0.25">
      <c r="B115" s="88" t="s">
        <v>109</v>
      </c>
      <c r="C115" s="30">
        <v>339</v>
      </c>
      <c r="D115" s="32"/>
      <c r="E115" s="32"/>
      <c r="F115" s="32"/>
      <c r="G115" s="85"/>
      <c r="H115" s="32"/>
      <c r="I115" s="32"/>
      <c r="J115" s="32"/>
      <c r="K115" s="59"/>
      <c r="L115" s="8"/>
      <c r="M115" s="32"/>
      <c r="N115" s="83"/>
      <c r="O115" s="46"/>
      <c r="P115" s="80"/>
      <c r="Q115" s="40">
        <f t="shared" si="7"/>
        <v>0</v>
      </c>
      <c r="R115" s="11"/>
    </row>
    <row r="116" spans="2:18" x14ac:dyDescent="0.25">
      <c r="B116" s="88" t="s">
        <v>110</v>
      </c>
      <c r="C116" s="30">
        <v>340</v>
      </c>
      <c r="D116" s="32"/>
      <c r="E116" s="32"/>
      <c r="F116" s="32"/>
      <c r="G116" s="85"/>
      <c r="H116" s="32"/>
      <c r="I116" s="32"/>
      <c r="J116" s="32"/>
      <c r="K116" s="59"/>
      <c r="L116" s="8"/>
      <c r="M116" s="32"/>
      <c r="N116" s="83"/>
      <c r="O116" s="46"/>
      <c r="P116" s="80"/>
      <c r="Q116" s="40">
        <f t="shared" si="7"/>
        <v>0</v>
      </c>
      <c r="R116" s="11"/>
    </row>
    <row r="117" spans="2:18" x14ac:dyDescent="0.25">
      <c r="B117" s="88" t="s">
        <v>111</v>
      </c>
      <c r="C117" s="30">
        <v>341</v>
      </c>
      <c r="D117" s="32"/>
      <c r="E117" s="32"/>
      <c r="F117" s="32"/>
      <c r="G117" s="85"/>
      <c r="H117" s="32"/>
      <c r="I117" s="32"/>
      <c r="J117" s="32"/>
      <c r="K117" s="59"/>
      <c r="L117" s="8"/>
      <c r="M117" s="32"/>
      <c r="N117" s="83"/>
      <c r="O117" s="46"/>
      <c r="P117" s="80"/>
      <c r="Q117" s="40">
        <f t="shared" si="7"/>
        <v>0</v>
      </c>
      <c r="R117" s="11"/>
    </row>
    <row r="118" spans="2:18" x14ac:dyDescent="0.25">
      <c r="B118" s="88" t="s">
        <v>112</v>
      </c>
      <c r="C118" s="30">
        <v>342</v>
      </c>
      <c r="D118" s="32"/>
      <c r="E118" s="32"/>
      <c r="F118" s="32"/>
      <c r="G118" s="85"/>
      <c r="H118" s="32"/>
      <c r="I118" s="32"/>
      <c r="J118" s="32"/>
      <c r="K118" s="59"/>
      <c r="L118" s="8"/>
      <c r="M118" s="32"/>
      <c r="N118" s="83"/>
      <c r="O118" s="46"/>
      <c r="P118" s="80"/>
      <c r="Q118" s="40">
        <f t="shared" si="7"/>
        <v>0</v>
      </c>
      <c r="R118" s="11"/>
    </row>
    <row r="119" spans="2:18" ht="25.5" customHeight="1" x14ac:dyDescent="0.25">
      <c r="B119" s="88" t="s">
        <v>113</v>
      </c>
      <c r="C119" s="30">
        <v>343</v>
      </c>
      <c r="D119" s="32"/>
      <c r="E119" s="32"/>
      <c r="F119" s="32"/>
      <c r="G119" s="85"/>
      <c r="H119" s="32"/>
      <c r="I119" s="32"/>
      <c r="J119" s="32"/>
      <c r="K119" s="59"/>
      <c r="L119" s="8"/>
      <c r="M119" s="32"/>
      <c r="N119" s="83"/>
      <c r="O119" s="46"/>
      <c r="P119" s="80"/>
      <c r="Q119" s="40">
        <f t="shared" si="7"/>
        <v>0</v>
      </c>
      <c r="R119" s="11"/>
    </row>
    <row r="120" spans="2:18" ht="14.25" customHeight="1" x14ac:dyDescent="0.25">
      <c r="B120" s="90"/>
      <c r="C120" s="50"/>
      <c r="D120" s="57"/>
      <c r="E120" s="57"/>
      <c r="F120" s="57"/>
      <c r="G120" s="65"/>
      <c r="H120" s="64"/>
      <c r="I120" s="64"/>
      <c r="J120" s="32"/>
      <c r="K120" s="59"/>
      <c r="L120" s="8"/>
      <c r="M120" s="91"/>
      <c r="N120" s="92"/>
      <c r="O120" s="93"/>
      <c r="P120" s="63"/>
      <c r="Q120" s="40"/>
      <c r="R120" s="11"/>
    </row>
    <row r="121" spans="2:18" ht="14.25" customHeight="1" x14ac:dyDescent="0.25">
      <c r="B121" s="56" t="s">
        <v>114</v>
      </c>
      <c r="C121" s="50">
        <v>400</v>
      </c>
      <c r="D121" s="57">
        <v>0</v>
      </c>
      <c r="E121" s="57"/>
      <c r="F121" s="57"/>
      <c r="G121" s="58"/>
      <c r="H121" s="57"/>
      <c r="I121" s="57"/>
      <c r="J121" s="57"/>
      <c r="K121" s="59"/>
      <c r="L121" s="72"/>
      <c r="M121" s="64"/>
      <c r="N121" s="103"/>
      <c r="O121" s="104"/>
      <c r="P121" s="63"/>
      <c r="Q121" s="40">
        <f>D121-P121</f>
        <v>0</v>
      </c>
      <c r="R121" s="11"/>
    </row>
    <row r="122" spans="2:18" ht="14.25" customHeight="1" x14ac:dyDescent="0.25">
      <c r="B122" s="56"/>
      <c r="C122" s="50"/>
      <c r="D122" s="57"/>
      <c r="E122" s="57"/>
      <c r="F122" s="57"/>
      <c r="G122" s="65"/>
      <c r="H122" s="64"/>
      <c r="I122" s="64"/>
      <c r="J122" s="64"/>
      <c r="K122" s="66"/>
      <c r="L122" s="8"/>
      <c r="M122" s="64"/>
      <c r="N122" s="103"/>
      <c r="O122" s="104"/>
      <c r="P122" s="63"/>
      <c r="Q122" s="40"/>
      <c r="R122" s="11"/>
    </row>
    <row r="123" spans="2:18" x14ac:dyDescent="0.25">
      <c r="B123" s="67" t="s">
        <v>115</v>
      </c>
      <c r="C123" s="68">
        <v>410</v>
      </c>
      <c r="D123" s="69"/>
      <c r="E123" s="69"/>
      <c r="F123" s="69"/>
      <c r="G123" s="70"/>
      <c r="H123" s="69"/>
      <c r="I123" s="69"/>
      <c r="J123" s="69"/>
      <c r="K123" s="106"/>
      <c r="L123" s="72"/>
      <c r="M123" s="69"/>
      <c r="N123" s="74"/>
      <c r="O123" s="75"/>
      <c r="P123" s="76"/>
      <c r="Q123" s="40">
        <f t="shared" ref="Q123:Q140" si="8">D123-P123</f>
        <v>0</v>
      </c>
      <c r="R123" s="77"/>
    </row>
    <row r="124" spans="2:18" x14ac:dyDescent="0.25">
      <c r="B124" s="88" t="s">
        <v>116</v>
      </c>
      <c r="C124" s="30">
        <v>411</v>
      </c>
      <c r="D124" s="32"/>
      <c r="E124" s="32"/>
      <c r="F124" s="32"/>
      <c r="G124" s="79"/>
      <c r="H124" s="32"/>
      <c r="I124" s="32"/>
      <c r="J124" s="32"/>
      <c r="K124" s="59"/>
      <c r="L124" s="8"/>
      <c r="M124" s="32"/>
      <c r="N124" s="45"/>
      <c r="O124" s="46"/>
      <c r="P124" s="80"/>
      <c r="Q124" s="40">
        <f t="shared" si="8"/>
        <v>0</v>
      </c>
      <c r="R124" s="11"/>
    </row>
    <row r="125" spans="2:18" ht="25.5" customHeight="1" x14ac:dyDescent="0.25">
      <c r="B125" s="107" t="s">
        <v>117</v>
      </c>
      <c r="C125" s="30" t="s">
        <v>118</v>
      </c>
      <c r="D125" s="32"/>
      <c r="E125" s="32"/>
      <c r="F125" s="32"/>
      <c r="G125" s="79"/>
      <c r="H125" s="32"/>
      <c r="I125" s="32"/>
      <c r="J125" s="32"/>
      <c r="K125" s="59"/>
      <c r="L125" s="8"/>
      <c r="M125" s="32"/>
      <c r="N125" s="45"/>
      <c r="O125" s="46"/>
      <c r="P125" s="80"/>
      <c r="Q125" s="40">
        <f t="shared" si="8"/>
        <v>0</v>
      </c>
      <c r="R125" s="11"/>
    </row>
    <row r="126" spans="2:18" x14ac:dyDescent="0.25">
      <c r="B126" s="107" t="s">
        <v>119</v>
      </c>
      <c r="C126" s="30" t="s">
        <v>120</v>
      </c>
      <c r="D126" s="32"/>
      <c r="E126" s="32"/>
      <c r="F126" s="32"/>
      <c r="G126" s="79"/>
      <c r="H126" s="32"/>
      <c r="I126" s="32"/>
      <c r="J126" s="32"/>
      <c r="K126" s="59"/>
      <c r="L126" s="8"/>
      <c r="M126" s="32"/>
      <c r="N126" s="45"/>
      <c r="O126" s="46"/>
      <c r="P126" s="80"/>
      <c r="Q126" s="40">
        <f t="shared" si="8"/>
        <v>0</v>
      </c>
      <c r="R126" s="11"/>
    </row>
    <row r="127" spans="2:18" x14ac:dyDescent="0.25">
      <c r="B127" s="88" t="s">
        <v>121</v>
      </c>
      <c r="C127" s="30">
        <v>412</v>
      </c>
      <c r="D127" s="32">
        <v>-13746000000</v>
      </c>
      <c r="E127" s="32"/>
      <c r="F127" s="32"/>
      <c r="G127" s="85"/>
      <c r="H127" s="32"/>
      <c r="I127" s="32"/>
      <c r="J127" s="32"/>
      <c r="K127" s="59"/>
      <c r="L127" s="8"/>
      <c r="M127" s="32"/>
      <c r="N127" s="83"/>
      <c r="O127" s="46"/>
      <c r="P127" s="80"/>
      <c r="Q127" s="40">
        <f t="shared" si="8"/>
        <v>-13746000000</v>
      </c>
      <c r="R127" s="11"/>
    </row>
    <row r="128" spans="2:18" x14ac:dyDescent="0.25">
      <c r="B128" s="88" t="s">
        <v>122</v>
      </c>
      <c r="C128" s="30">
        <v>413</v>
      </c>
      <c r="D128" s="32"/>
      <c r="E128" s="32"/>
      <c r="F128" s="32"/>
      <c r="G128" s="85"/>
      <c r="H128" s="32"/>
      <c r="I128" s="32"/>
      <c r="J128" s="32"/>
      <c r="K128" s="59"/>
      <c r="L128" s="8"/>
      <c r="M128" s="32"/>
      <c r="N128" s="83"/>
      <c r="O128" s="46"/>
      <c r="P128" s="80"/>
      <c r="Q128" s="40">
        <f t="shared" si="8"/>
        <v>0</v>
      </c>
      <c r="R128" s="11"/>
    </row>
    <row r="129" spans="2:18" x14ac:dyDescent="0.25">
      <c r="B129" s="88" t="s">
        <v>123</v>
      </c>
      <c r="C129" s="30">
        <v>414</v>
      </c>
      <c r="D129" s="32"/>
      <c r="E129" s="32"/>
      <c r="F129" s="32"/>
      <c r="G129" s="85"/>
      <c r="H129" s="32"/>
      <c r="I129" s="32"/>
      <c r="J129" s="32"/>
      <c r="K129" s="59"/>
      <c r="L129" s="8"/>
      <c r="M129" s="32"/>
      <c r="N129" s="83"/>
      <c r="O129" s="46"/>
      <c r="P129" s="80"/>
      <c r="Q129" s="40">
        <f t="shared" si="8"/>
        <v>0</v>
      </c>
      <c r="R129" s="11"/>
    </row>
    <row r="130" spans="2:18" x14ac:dyDescent="0.25">
      <c r="B130" s="88" t="s">
        <v>124</v>
      </c>
      <c r="C130" s="30">
        <v>415</v>
      </c>
      <c r="D130" s="32"/>
      <c r="E130" s="32"/>
      <c r="F130" s="32"/>
      <c r="G130" s="79"/>
      <c r="H130" s="32"/>
      <c r="I130" s="32"/>
      <c r="J130" s="32"/>
      <c r="K130" s="59"/>
      <c r="L130" s="8"/>
      <c r="M130" s="32"/>
      <c r="N130" s="45"/>
      <c r="O130" s="46"/>
      <c r="P130" s="80"/>
      <c r="Q130" s="40">
        <f t="shared" si="8"/>
        <v>0</v>
      </c>
      <c r="R130" s="11"/>
    </row>
    <row r="131" spans="2:18" x14ac:dyDescent="0.25">
      <c r="B131" s="88" t="s">
        <v>125</v>
      </c>
      <c r="C131" s="30">
        <v>416</v>
      </c>
      <c r="D131" s="32"/>
      <c r="E131" s="32"/>
      <c r="F131" s="32"/>
      <c r="G131" s="85"/>
      <c r="H131" s="32"/>
      <c r="I131" s="32"/>
      <c r="J131" s="32"/>
      <c r="K131" s="59"/>
      <c r="L131" s="8"/>
      <c r="M131" s="32"/>
      <c r="N131" s="83"/>
      <c r="O131" s="46"/>
      <c r="P131" s="80"/>
      <c r="Q131" s="40">
        <f t="shared" si="8"/>
        <v>0</v>
      </c>
      <c r="R131" s="11"/>
    </row>
    <row r="132" spans="2:18" x14ac:dyDescent="0.25">
      <c r="B132" s="88" t="s">
        <v>126</v>
      </c>
      <c r="C132" s="30">
        <v>417</v>
      </c>
      <c r="D132" s="32">
        <v>0</v>
      </c>
      <c r="E132" s="32">
        <v>0</v>
      </c>
      <c r="F132" s="32">
        <v>0</v>
      </c>
      <c r="G132" s="85"/>
      <c r="H132" s="32">
        <v>0</v>
      </c>
      <c r="I132" s="32">
        <v>0</v>
      </c>
      <c r="J132" s="32">
        <f>F132-I132</f>
        <v>0</v>
      </c>
      <c r="K132" s="59" t="str">
        <f>IF(I132=0,"NA",J132/I132)</f>
        <v>NA</v>
      </c>
      <c r="L132" s="8" t="str">
        <f>IF(AND(D132=0,E132=0,F132=0,I132=0,G132=0),"Hide","Stay")</f>
        <v>Hide</v>
      </c>
      <c r="M132" s="32">
        <v>0</v>
      </c>
      <c r="N132" s="83">
        <v>0</v>
      </c>
      <c r="O132" s="46"/>
      <c r="P132" s="80">
        <v>0</v>
      </c>
      <c r="Q132" s="40">
        <f t="shared" si="8"/>
        <v>0</v>
      </c>
      <c r="R132" s="11"/>
    </row>
    <row r="133" spans="2:18" x14ac:dyDescent="0.25">
      <c r="B133" s="88" t="s">
        <v>127</v>
      </c>
      <c r="C133" s="30">
        <v>418</v>
      </c>
      <c r="D133" s="32">
        <v>0</v>
      </c>
      <c r="E133" s="32">
        <v>0</v>
      </c>
      <c r="F133" s="32">
        <v>0</v>
      </c>
      <c r="G133" s="85"/>
      <c r="H133" s="32">
        <v>0</v>
      </c>
      <c r="I133" s="32">
        <v>0</v>
      </c>
      <c r="J133" s="32">
        <f>F133-I133</f>
        <v>0</v>
      </c>
      <c r="K133" s="59" t="str">
        <f>IF(I133=0,"NA",J133/I133)</f>
        <v>NA</v>
      </c>
      <c r="L133" s="8" t="str">
        <f>IF(AND(D133=0,E133=0,F133=0,I133=0,G133=0),"Hide","Stay")</f>
        <v>Hide</v>
      </c>
      <c r="M133" s="32">
        <v>0</v>
      </c>
      <c r="N133" s="83">
        <v>0</v>
      </c>
      <c r="O133" s="46"/>
      <c r="P133" s="80">
        <v>0</v>
      </c>
      <c r="Q133" s="40">
        <f t="shared" si="8"/>
        <v>0</v>
      </c>
      <c r="R133" s="11"/>
    </row>
    <row r="134" spans="2:18" x14ac:dyDescent="0.25">
      <c r="B134" s="88" t="s">
        <v>128</v>
      </c>
      <c r="C134" s="30">
        <v>419</v>
      </c>
      <c r="D134" s="32"/>
      <c r="E134" s="32"/>
      <c r="F134" s="32"/>
      <c r="G134" s="85"/>
      <c r="H134" s="32"/>
      <c r="I134" s="32"/>
      <c r="J134" s="32"/>
      <c r="K134" s="59"/>
      <c r="L134" s="8"/>
      <c r="M134" s="32"/>
      <c r="N134" s="83"/>
      <c r="O134" s="46"/>
      <c r="P134" s="80"/>
      <c r="Q134" s="40">
        <f t="shared" si="8"/>
        <v>0</v>
      </c>
      <c r="R134" s="11"/>
    </row>
    <row r="135" spans="2:18" x14ac:dyDescent="0.25">
      <c r="B135" s="88" t="s">
        <v>129</v>
      </c>
      <c r="C135" s="30">
        <v>420</v>
      </c>
      <c r="D135" s="32"/>
      <c r="E135" s="32"/>
      <c r="F135" s="32"/>
      <c r="G135" s="85"/>
      <c r="H135" s="32"/>
      <c r="I135" s="32"/>
      <c r="J135" s="32"/>
      <c r="K135" s="59"/>
      <c r="L135" s="8"/>
      <c r="M135" s="32"/>
      <c r="N135" s="45"/>
      <c r="O135" s="46"/>
      <c r="P135" s="80"/>
      <c r="Q135" s="40">
        <f t="shared" si="8"/>
        <v>0</v>
      </c>
      <c r="R135" s="11"/>
    </row>
    <row r="136" spans="2:18" x14ac:dyDescent="0.25">
      <c r="B136" s="88" t="s">
        <v>130</v>
      </c>
      <c r="C136" s="30">
        <v>421</v>
      </c>
      <c r="D136" s="32"/>
      <c r="E136" s="32"/>
      <c r="F136" s="32"/>
      <c r="G136" s="33"/>
      <c r="H136" s="32"/>
      <c r="I136" s="32"/>
      <c r="J136" s="32"/>
      <c r="K136" s="59"/>
      <c r="L136" s="8"/>
      <c r="M136" s="32"/>
      <c r="N136" s="83"/>
      <c r="O136" s="46"/>
      <c r="P136" s="47"/>
      <c r="Q136" s="40">
        <f t="shared" si="8"/>
        <v>0</v>
      </c>
      <c r="R136" s="11"/>
    </row>
    <row r="137" spans="2:18" s="112" customFormat="1" ht="25.5" customHeight="1" x14ac:dyDescent="0.25">
      <c r="B137" s="108" t="s">
        <v>131</v>
      </c>
      <c r="C137" s="96" t="s">
        <v>132</v>
      </c>
      <c r="D137" s="97">
        <v>6176390545</v>
      </c>
      <c r="E137" s="97"/>
      <c r="F137" s="97"/>
      <c r="G137" s="109"/>
      <c r="H137" s="32"/>
      <c r="I137" s="32"/>
      <c r="J137" s="97"/>
      <c r="K137" s="71"/>
      <c r="L137" s="72"/>
      <c r="M137" s="97"/>
      <c r="N137" s="110"/>
      <c r="O137" s="111"/>
      <c r="P137" s="80"/>
      <c r="Q137" s="40">
        <f t="shared" si="8"/>
        <v>6176390545</v>
      </c>
      <c r="R137" s="77"/>
    </row>
    <row r="138" spans="2:18" s="112" customFormat="1" ht="25.5" customHeight="1" x14ac:dyDescent="0.25">
      <c r="B138" s="108" t="s">
        <v>133</v>
      </c>
      <c r="C138" s="96" t="s">
        <v>134</v>
      </c>
      <c r="D138" s="97">
        <v>921370336</v>
      </c>
      <c r="E138" s="97"/>
      <c r="F138" s="97"/>
      <c r="G138" s="113"/>
      <c r="H138" s="97"/>
      <c r="I138" s="97"/>
      <c r="J138" s="97"/>
      <c r="K138" s="71"/>
      <c r="L138" s="72"/>
      <c r="M138" s="97"/>
      <c r="N138" s="110"/>
      <c r="O138" s="111"/>
      <c r="P138" s="97"/>
      <c r="Q138" s="40">
        <f t="shared" si="8"/>
        <v>921370336</v>
      </c>
      <c r="R138" s="77"/>
    </row>
    <row r="139" spans="2:18" x14ac:dyDescent="0.25">
      <c r="B139" s="88" t="s">
        <v>135</v>
      </c>
      <c r="C139" s="30">
        <v>422</v>
      </c>
      <c r="D139" s="32"/>
      <c r="E139" s="32"/>
      <c r="F139" s="32"/>
      <c r="G139" s="85"/>
      <c r="H139" s="32"/>
      <c r="I139" s="32"/>
      <c r="J139" s="32"/>
      <c r="K139" s="59"/>
      <c r="L139" s="8"/>
      <c r="M139" s="32"/>
      <c r="N139" s="83"/>
      <c r="O139" s="46"/>
      <c r="P139" s="80"/>
      <c r="Q139" s="40">
        <f t="shared" si="8"/>
        <v>0</v>
      </c>
      <c r="R139" s="11"/>
    </row>
    <row r="140" spans="2:18" x14ac:dyDescent="0.25">
      <c r="B140" s="88" t="s">
        <v>136</v>
      </c>
      <c r="C140" s="30">
        <v>429</v>
      </c>
      <c r="D140" s="32"/>
      <c r="E140" s="32"/>
      <c r="F140" s="32"/>
      <c r="G140" s="85"/>
      <c r="H140" s="32"/>
      <c r="I140" s="32"/>
      <c r="J140" s="32"/>
      <c r="K140" s="59"/>
      <c r="L140" s="8"/>
      <c r="M140" s="32"/>
      <c r="N140" s="83"/>
      <c r="O140" s="46"/>
      <c r="P140" s="80"/>
      <c r="Q140" s="40">
        <f t="shared" si="8"/>
        <v>0</v>
      </c>
      <c r="R140" s="11"/>
    </row>
    <row r="141" spans="2:18" x14ac:dyDescent="0.25">
      <c r="B141" s="88"/>
      <c r="C141" s="30"/>
      <c r="D141" s="31"/>
      <c r="E141" s="31"/>
      <c r="F141" s="31"/>
      <c r="G141" s="82"/>
      <c r="H141" s="31"/>
      <c r="I141" s="31"/>
      <c r="J141" s="32"/>
      <c r="K141" s="59"/>
      <c r="L141" s="8"/>
      <c r="M141" s="44"/>
      <c r="N141" s="83"/>
      <c r="O141" s="46"/>
      <c r="P141" s="47"/>
      <c r="Q141" s="40"/>
      <c r="R141" s="11"/>
    </row>
    <row r="142" spans="2:18" x14ac:dyDescent="0.25">
      <c r="B142" s="67" t="s">
        <v>137</v>
      </c>
      <c r="C142" s="68">
        <v>430</v>
      </c>
      <c r="D142" s="69"/>
      <c r="E142" s="69"/>
      <c r="F142" s="69"/>
      <c r="G142" s="70"/>
      <c r="H142" s="69"/>
      <c r="I142" s="69"/>
      <c r="J142" s="69"/>
      <c r="K142" s="71"/>
      <c r="L142" s="72"/>
      <c r="M142" s="73"/>
      <c r="N142" s="74"/>
      <c r="O142" s="75"/>
      <c r="P142" s="76"/>
      <c r="Q142" s="40">
        <f>D142-P142</f>
        <v>0</v>
      </c>
      <c r="R142" s="77"/>
    </row>
    <row r="143" spans="2:18" x14ac:dyDescent="0.25">
      <c r="B143" s="88" t="s">
        <v>138</v>
      </c>
      <c r="C143" s="30">
        <v>431</v>
      </c>
      <c r="D143" s="32"/>
      <c r="E143" s="32"/>
      <c r="F143" s="32"/>
      <c r="G143" s="85"/>
      <c r="H143" s="32"/>
      <c r="I143" s="32"/>
      <c r="J143" s="32"/>
      <c r="K143" s="59"/>
      <c r="L143" s="8"/>
      <c r="M143" s="32"/>
      <c r="N143" s="83"/>
      <c r="O143" s="46"/>
      <c r="P143" s="80"/>
      <c r="Q143" s="40">
        <f>D143-P143</f>
        <v>0</v>
      </c>
      <c r="R143" s="11"/>
    </row>
    <row r="144" spans="2:18" x14ac:dyDescent="0.25">
      <c r="B144" s="88" t="s">
        <v>139</v>
      </c>
      <c r="C144" s="30">
        <v>432</v>
      </c>
      <c r="D144" s="32"/>
      <c r="E144" s="32"/>
      <c r="F144" s="32"/>
      <c r="G144" s="85"/>
      <c r="H144" s="32"/>
      <c r="I144" s="32"/>
      <c r="J144" s="32"/>
      <c r="K144" s="59"/>
      <c r="L144" s="8"/>
      <c r="M144" s="32"/>
      <c r="N144" s="83"/>
      <c r="O144" s="46"/>
      <c r="P144" s="80"/>
      <c r="Q144" s="40">
        <f>D144-P144</f>
        <v>0</v>
      </c>
      <c r="R144" s="11"/>
    </row>
    <row r="145" spans="2:18" ht="14.25" customHeight="1" x14ac:dyDescent="0.25">
      <c r="B145" s="50"/>
      <c r="C145" s="50"/>
      <c r="D145" s="57"/>
      <c r="E145" s="57"/>
      <c r="F145" s="57"/>
      <c r="G145" s="65"/>
      <c r="H145" s="64"/>
      <c r="I145" s="64"/>
      <c r="J145" s="32"/>
      <c r="K145" s="34"/>
      <c r="L145" s="8"/>
      <c r="M145" s="91"/>
      <c r="N145" s="92"/>
      <c r="O145" s="93"/>
      <c r="P145" s="63"/>
      <c r="Q145" s="40"/>
      <c r="R145" s="11"/>
    </row>
    <row r="146" spans="2:18" ht="14.25" customHeight="1" x14ac:dyDescent="0.25">
      <c r="B146" s="114" t="s">
        <v>140</v>
      </c>
      <c r="C146" s="115">
        <v>440</v>
      </c>
      <c r="D146" s="116">
        <v>0</v>
      </c>
      <c r="E146" s="116"/>
      <c r="F146" s="116"/>
      <c r="G146" s="117"/>
      <c r="H146" s="116"/>
      <c r="I146" s="116"/>
      <c r="J146" s="116"/>
      <c r="K146" s="118"/>
      <c r="L146" s="8"/>
      <c r="M146" s="119"/>
      <c r="N146" s="120"/>
      <c r="O146" s="62"/>
      <c r="P146" s="121"/>
      <c r="Q146" s="40">
        <f>D146-P146</f>
        <v>0</v>
      </c>
      <c r="R146" s="11"/>
    </row>
    <row r="147" spans="2:18" x14ac:dyDescent="0.25">
      <c r="G147" s="123"/>
      <c r="H147" s="124"/>
      <c r="I147" s="124"/>
      <c r="L147" s="126"/>
      <c r="N147" s="20"/>
      <c r="O147" s="20"/>
      <c r="Q147" s="22"/>
    </row>
    <row r="148" spans="2:18" x14ac:dyDescent="0.25">
      <c r="B148" s="129" t="s">
        <v>141</v>
      </c>
      <c r="G148" s="123"/>
      <c r="H148" s="124"/>
      <c r="I148" s="124"/>
      <c r="L148" s="126"/>
      <c r="M148" s="130"/>
      <c r="N148" s="145"/>
      <c r="O148" s="131"/>
      <c r="P148" s="132"/>
      <c r="Q148" s="152"/>
    </row>
    <row r="149" spans="2:18" s="137" customFormat="1" x14ac:dyDescent="0.25">
      <c r="B149" s="133" t="s">
        <v>142</v>
      </c>
      <c r="C149" s="133"/>
      <c r="D149" s="134">
        <v>0</v>
      </c>
      <c r="E149" s="135"/>
      <c r="F149" s="135">
        <v>0</v>
      </c>
      <c r="G149" s="134">
        <v>0</v>
      </c>
      <c r="H149" s="135">
        <v>0</v>
      </c>
      <c r="I149" s="135">
        <v>0</v>
      </c>
      <c r="J149" s="135"/>
      <c r="K149" s="136"/>
      <c r="M149" s="138"/>
      <c r="N149" s="146"/>
      <c r="O149" s="131"/>
      <c r="P149" s="139"/>
      <c r="Q149" s="146"/>
    </row>
    <row r="150" spans="2:18" s="137" customFormat="1" x14ac:dyDescent="0.25">
      <c r="B150" s="133" t="s">
        <v>143</v>
      </c>
      <c r="C150" s="133"/>
      <c r="D150" s="134">
        <v>0</v>
      </c>
      <c r="E150" s="135"/>
      <c r="F150" s="135"/>
      <c r="G150" s="134"/>
      <c r="H150" s="135"/>
      <c r="I150" s="135"/>
      <c r="J150" s="135"/>
      <c r="K150" s="136"/>
      <c r="M150" s="138"/>
      <c r="N150" s="146"/>
      <c r="O150" s="131"/>
      <c r="P150" s="139"/>
      <c r="Q150" s="146"/>
    </row>
    <row r="151" spans="2:18" s="142" customFormat="1" x14ac:dyDescent="0.25">
      <c r="B151" s="133" t="s">
        <v>144</v>
      </c>
      <c r="C151" s="140"/>
      <c r="D151" s="135"/>
      <c r="E151" s="135"/>
      <c r="F151" s="135">
        <v>0</v>
      </c>
      <c r="G151" s="134"/>
      <c r="H151" s="135"/>
      <c r="I151" s="135"/>
      <c r="J151" s="135"/>
      <c r="K151" s="141"/>
      <c r="M151" s="20"/>
      <c r="N151" s="20"/>
      <c r="O151" s="20"/>
      <c r="P151" s="22"/>
      <c r="Q151" s="22"/>
    </row>
    <row r="152" spans="2:18" x14ac:dyDescent="0.25">
      <c r="B152" s="143" t="s">
        <v>145</v>
      </c>
      <c r="D152" s="135">
        <v>0</v>
      </c>
      <c r="E152" s="135">
        <v>0</v>
      </c>
      <c r="F152" s="135">
        <v>0</v>
      </c>
      <c r="G152" s="134">
        <v>0</v>
      </c>
      <c r="H152" s="135">
        <v>0</v>
      </c>
      <c r="I152" s="135">
        <v>0</v>
      </c>
      <c r="J152" s="135">
        <f>J84-J88-J121</f>
        <v>0</v>
      </c>
    </row>
    <row r="153" spans="2:18" x14ac:dyDescent="0.25">
      <c r="B153" s="143"/>
      <c r="D153" s="135">
        <v>0</v>
      </c>
      <c r="E153" s="135">
        <v>0</v>
      </c>
      <c r="F153" s="135">
        <v>0</v>
      </c>
      <c r="G153" s="134">
        <v>0</v>
      </c>
      <c r="H153" s="135">
        <v>0</v>
      </c>
      <c r="I153" s="135">
        <v>0</v>
      </c>
      <c r="J153" s="135">
        <f>J8+J40-J146</f>
        <v>0</v>
      </c>
    </row>
  </sheetData>
  <autoFilter ref="A5:R146" xr:uid="{00000000-0009-0000-0000-000000000000}"/>
  <mergeCells count="14">
    <mergeCell ref="Q148:Q150"/>
    <mergeCell ref="H3:H4"/>
    <mergeCell ref="I3:I4"/>
    <mergeCell ref="N3:N4"/>
    <mergeCell ref="G3:G4"/>
    <mergeCell ref="N148:N150"/>
    <mergeCell ref="J3:K3"/>
    <mergeCell ref="C3:C4"/>
    <mergeCell ref="B3:B4"/>
    <mergeCell ref="P3:P4"/>
    <mergeCell ref="M3:M4"/>
    <mergeCell ref="D3:D4"/>
    <mergeCell ref="E3:E4"/>
    <mergeCell ref="F3:F4"/>
  </mergeCells>
  <dataValidations count="1">
    <dataValidation allowBlank="1" showInputMessage="1" showErrorMessage="1" promptTitle="Notes:" prompt="Input figures from PY's audited FSs" sqref="G2" xr:uid="{00000000-0002-0000-0000-000000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BS</vt:lpstr>
      <vt:lpstr>Link_BS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Quang Le | Crowe Vietnam</dc:creator>
  <cp:lastModifiedBy>Hai Le</cp:lastModifiedBy>
  <dcterms:created xsi:type="dcterms:W3CDTF">2025-11-10T10:17:08Z</dcterms:created>
  <dcterms:modified xsi:type="dcterms:W3CDTF">2025-11-10T15:53:10Z</dcterms:modified>
</cp:coreProperties>
</file>