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ebbb93f357813a/10_Works/GitHub/Planning_Agent_NDD/"/>
    </mc:Choice>
  </mc:AlternateContent>
  <xr:revisionPtr revIDLastSave="7" documentId="8_{269CABF4-7589-4DAA-BA78-71E55904EC29}" xr6:coauthVersionLast="47" xr6:coauthVersionMax="47" xr10:uidLastSave="{B8341AE3-EEA2-5CC5-9C07-CC4B7064FF6F}"/>
  <bookViews>
    <workbookView xWindow="-120" yWindow="-120" windowWidth="29040" windowHeight="15720" xr2:uid="{BE7E29F6-4B76-4361-AB4F-5713C004D5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0" i="1" l="1"/>
  <c r="F380" i="1"/>
  <c r="B380" i="1"/>
  <c r="E380" i="1" s="1"/>
  <c r="F379" i="1"/>
  <c r="I378" i="1"/>
  <c r="F378" i="1"/>
  <c r="E378" i="1"/>
  <c r="I377" i="1"/>
  <c r="F377" i="1"/>
  <c r="E377" i="1"/>
  <c r="F376" i="1"/>
  <c r="F375" i="1"/>
  <c r="I374" i="1"/>
  <c r="F374" i="1"/>
  <c r="E374" i="1"/>
  <c r="I373" i="1"/>
  <c r="F373" i="1"/>
  <c r="E373" i="1"/>
  <c r="I372" i="1"/>
  <c r="F372" i="1"/>
  <c r="E372" i="1"/>
  <c r="I371" i="1"/>
  <c r="F371" i="1"/>
  <c r="E371" i="1"/>
  <c r="I370" i="1"/>
  <c r="F370" i="1"/>
  <c r="B370" i="1"/>
  <c r="E370" i="1" s="1"/>
  <c r="F369" i="1"/>
  <c r="F368" i="1"/>
  <c r="I366" i="1"/>
  <c r="F366" i="1"/>
  <c r="E366" i="1"/>
  <c r="I365" i="1"/>
  <c r="F365" i="1"/>
  <c r="E365" i="1"/>
  <c r="I364" i="1"/>
  <c r="F364" i="1"/>
  <c r="E364" i="1"/>
  <c r="I363" i="1"/>
  <c r="F363" i="1"/>
  <c r="E363" i="1"/>
  <c r="I362" i="1"/>
  <c r="F362" i="1"/>
  <c r="E362" i="1"/>
  <c r="I361" i="1"/>
  <c r="F361" i="1"/>
  <c r="E361" i="1"/>
  <c r="I360" i="1"/>
  <c r="F360" i="1"/>
  <c r="B360" i="1"/>
  <c r="E360" i="1" s="1"/>
  <c r="F359" i="1"/>
  <c r="F358" i="1"/>
  <c r="F357" i="1"/>
  <c r="I356" i="1"/>
  <c r="F356" i="1"/>
  <c r="E356" i="1"/>
  <c r="I355" i="1"/>
  <c r="F355" i="1"/>
  <c r="E355" i="1"/>
  <c r="I354" i="1"/>
  <c r="F354" i="1"/>
  <c r="E354" i="1"/>
  <c r="I353" i="1"/>
  <c r="F353" i="1"/>
  <c r="E353" i="1"/>
  <c r="I352" i="1"/>
  <c r="F352" i="1"/>
  <c r="E352" i="1"/>
  <c r="I351" i="1"/>
  <c r="F351" i="1"/>
  <c r="E351" i="1"/>
  <c r="I350" i="1"/>
  <c r="F350" i="1"/>
  <c r="E350" i="1"/>
  <c r="I349" i="1"/>
  <c r="F349" i="1"/>
  <c r="E349" i="1"/>
  <c r="F348" i="1"/>
  <c r="F347" i="1"/>
  <c r="I346" i="1"/>
  <c r="F346" i="1"/>
  <c r="E346" i="1"/>
  <c r="I345" i="1"/>
  <c r="F345" i="1"/>
  <c r="E345" i="1"/>
  <c r="I344" i="1"/>
  <c r="F344" i="1"/>
  <c r="E344" i="1"/>
  <c r="I343" i="1"/>
  <c r="F343" i="1"/>
  <c r="E343" i="1"/>
  <c r="I342" i="1"/>
  <c r="F342" i="1"/>
  <c r="E342" i="1"/>
  <c r="I341" i="1"/>
  <c r="F341" i="1"/>
  <c r="E341" i="1"/>
  <c r="I340" i="1"/>
  <c r="F340" i="1"/>
  <c r="E340" i="1"/>
  <c r="F339" i="1"/>
  <c r="F338" i="1"/>
  <c r="I337" i="1"/>
  <c r="F337" i="1"/>
  <c r="E337" i="1"/>
  <c r="I336" i="1"/>
  <c r="F336" i="1"/>
  <c r="E336" i="1"/>
  <c r="I335" i="1"/>
  <c r="F335" i="1"/>
  <c r="E335" i="1"/>
  <c r="I334" i="1"/>
  <c r="F334" i="1"/>
  <c r="E334" i="1"/>
  <c r="I333" i="1"/>
  <c r="F333" i="1"/>
  <c r="E333" i="1"/>
  <c r="I332" i="1"/>
  <c r="F332" i="1"/>
  <c r="E332" i="1"/>
  <c r="I331" i="1"/>
  <c r="F331" i="1"/>
  <c r="E331" i="1"/>
  <c r="F330" i="1"/>
  <c r="I326" i="1"/>
  <c r="F326" i="1"/>
  <c r="E326" i="1"/>
  <c r="I325" i="1"/>
  <c r="F325" i="1"/>
  <c r="E325" i="1"/>
  <c r="I324" i="1"/>
  <c r="F324" i="1"/>
  <c r="E324" i="1"/>
  <c r="I323" i="1"/>
  <c r="F323" i="1"/>
  <c r="E323" i="1"/>
  <c r="I322" i="1"/>
  <c r="F322" i="1"/>
  <c r="E322" i="1"/>
  <c r="I321" i="1"/>
  <c r="F321" i="1"/>
  <c r="B321" i="1"/>
  <c r="E321" i="1" s="1"/>
  <c r="F320" i="1"/>
  <c r="I319" i="1"/>
  <c r="F319" i="1"/>
  <c r="E319" i="1"/>
  <c r="B319" i="1"/>
  <c r="F318" i="1"/>
  <c r="F317" i="1"/>
  <c r="F316" i="1"/>
  <c r="F315" i="1"/>
  <c r="F314" i="1"/>
  <c r="F313" i="1"/>
  <c r="F312" i="1"/>
  <c r="I311" i="1"/>
  <c r="F311" i="1"/>
  <c r="B311" i="1"/>
  <c r="E311" i="1" s="1"/>
  <c r="F310" i="1"/>
  <c r="F309" i="1"/>
  <c r="F308" i="1"/>
  <c r="F307" i="1"/>
  <c r="F306" i="1"/>
  <c r="F305" i="1"/>
  <c r="F304" i="1"/>
  <c r="I303" i="1"/>
  <c r="F303" i="1"/>
  <c r="B303" i="1"/>
  <c r="E303" i="1" s="1"/>
  <c r="I302" i="1"/>
  <c r="F302" i="1"/>
  <c r="E302" i="1"/>
  <c r="B302" i="1"/>
  <c r="I301" i="1"/>
  <c r="F301" i="1"/>
  <c r="E301" i="1"/>
  <c r="B301" i="1"/>
  <c r="F300" i="1"/>
  <c r="F299" i="1"/>
  <c r="I298" i="1"/>
  <c r="F298" i="1"/>
  <c r="E298" i="1"/>
  <c r="B298" i="1"/>
  <c r="F297" i="1"/>
  <c r="F296" i="1"/>
  <c r="F295" i="1"/>
  <c r="F294" i="1"/>
  <c r="E294" i="1"/>
  <c r="F293" i="1"/>
  <c r="E293" i="1"/>
  <c r="F292" i="1"/>
  <c r="E292" i="1"/>
  <c r="F290" i="1"/>
  <c r="I289" i="1"/>
  <c r="F289" i="1"/>
  <c r="E289" i="1"/>
  <c r="I288" i="1"/>
  <c r="F288" i="1"/>
  <c r="E288" i="1"/>
  <c r="I287" i="1"/>
  <c r="F287" i="1"/>
  <c r="E287" i="1"/>
  <c r="I286" i="1"/>
  <c r="F286" i="1"/>
  <c r="E286" i="1"/>
  <c r="I285" i="1"/>
  <c r="F285" i="1"/>
  <c r="E285" i="1"/>
  <c r="I284" i="1"/>
  <c r="F284" i="1"/>
  <c r="E284" i="1"/>
  <c r="I283" i="1"/>
  <c r="F283" i="1"/>
  <c r="E283" i="1"/>
  <c r="B283" i="1"/>
  <c r="F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F274" i="1"/>
  <c r="F273" i="1"/>
  <c r="F272" i="1"/>
  <c r="F271" i="1"/>
  <c r="I270" i="1"/>
  <c r="F270" i="1"/>
  <c r="E270" i="1"/>
  <c r="B270" i="1"/>
  <c r="F269" i="1"/>
  <c r="I268" i="1"/>
  <c r="F268" i="1"/>
  <c r="E268" i="1"/>
  <c r="I267" i="1"/>
  <c r="F267" i="1"/>
  <c r="E267" i="1"/>
  <c r="F266" i="1"/>
  <c r="F265" i="1"/>
  <c r="I264" i="1"/>
  <c r="F264" i="1"/>
  <c r="B264" i="1"/>
  <c r="E264" i="1" s="1"/>
  <c r="F263" i="1"/>
  <c r="F262" i="1"/>
  <c r="E262" i="1"/>
  <c r="F261" i="1"/>
  <c r="E261" i="1"/>
  <c r="F260" i="1"/>
  <c r="F259" i="1"/>
  <c r="I258" i="1"/>
  <c r="F258" i="1"/>
  <c r="E258" i="1"/>
  <c r="B258" i="1"/>
  <c r="I257" i="1"/>
  <c r="F257" i="1"/>
  <c r="B257" i="1"/>
  <c r="E257" i="1" s="1"/>
  <c r="I256" i="1"/>
  <c r="F256" i="1"/>
  <c r="E256" i="1"/>
  <c r="B256" i="1"/>
  <c r="I255" i="1"/>
  <c r="F255" i="1"/>
  <c r="E255" i="1"/>
  <c r="B255" i="1"/>
  <c r="F254" i="1"/>
  <c r="I253" i="1"/>
  <c r="F253" i="1"/>
  <c r="E253" i="1"/>
  <c r="I252" i="1"/>
  <c r="F252" i="1"/>
  <c r="E252" i="1"/>
  <c r="F251" i="1"/>
  <c r="F250" i="1"/>
  <c r="I249" i="1"/>
  <c r="F249" i="1"/>
  <c r="B249" i="1"/>
  <c r="E249" i="1" s="1"/>
  <c r="F248" i="1"/>
  <c r="I247" i="1"/>
  <c r="F247" i="1"/>
  <c r="E247" i="1"/>
  <c r="I246" i="1"/>
  <c r="F246" i="1"/>
  <c r="E246" i="1"/>
  <c r="I245" i="1"/>
  <c r="F245" i="1"/>
  <c r="E245" i="1"/>
  <c r="I244" i="1"/>
  <c r="F244" i="1"/>
  <c r="E244" i="1"/>
  <c r="F243" i="1"/>
  <c r="E243" i="1"/>
  <c r="F242" i="1"/>
  <c r="E242" i="1"/>
  <c r="F241" i="1"/>
  <c r="F240" i="1"/>
  <c r="F239" i="1"/>
  <c r="F238" i="1"/>
  <c r="I237" i="1"/>
  <c r="F237" i="1"/>
  <c r="E237" i="1"/>
  <c r="B237" i="1"/>
  <c r="F236" i="1"/>
  <c r="I235" i="1"/>
  <c r="F235" i="1"/>
  <c r="E235" i="1"/>
  <c r="I234" i="1"/>
  <c r="F234" i="1"/>
  <c r="E234" i="1"/>
  <c r="F232" i="1"/>
  <c r="I231" i="1"/>
  <c r="F231" i="1"/>
  <c r="E231" i="1"/>
  <c r="I230" i="1"/>
  <c r="F230" i="1"/>
  <c r="E230" i="1"/>
  <c r="I229" i="1"/>
  <c r="F229" i="1"/>
  <c r="E229" i="1"/>
  <c r="I228" i="1"/>
  <c r="F228" i="1"/>
  <c r="E228" i="1"/>
  <c r="F226" i="1"/>
  <c r="I225" i="1"/>
  <c r="F225" i="1"/>
  <c r="E225" i="1"/>
  <c r="I224" i="1"/>
  <c r="F224" i="1"/>
  <c r="E224" i="1"/>
  <c r="I223" i="1"/>
  <c r="F223" i="1"/>
  <c r="E223" i="1"/>
  <c r="I222" i="1"/>
  <c r="F222" i="1"/>
  <c r="E222" i="1"/>
  <c r="I221" i="1"/>
  <c r="F221" i="1"/>
  <c r="E221" i="1"/>
  <c r="F219" i="1"/>
  <c r="I218" i="1"/>
  <c r="F218" i="1"/>
  <c r="B218" i="1"/>
  <c r="E218" i="1" s="1"/>
  <c r="F217" i="1"/>
  <c r="I216" i="1"/>
  <c r="F216" i="1"/>
  <c r="E216" i="1"/>
  <c r="I215" i="1"/>
  <c r="F215" i="1"/>
  <c r="B215" i="1"/>
  <c r="E215" i="1" s="1"/>
  <c r="F214" i="1"/>
  <c r="I213" i="1"/>
  <c r="F213" i="1"/>
  <c r="E213" i="1"/>
  <c r="I212" i="1"/>
  <c r="F212" i="1"/>
  <c r="E212" i="1"/>
  <c r="I211" i="1"/>
  <c r="F211" i="1"/>
  <c r="E211" i="1"/>
  <c r="I210" i="1"/>
  <c r="F210" i="1"/>
  <c r="E210" i="1"/>
  <c r="I209" i="1"/>
  <c r="F209" i="1"/>
  <c r="E209" i="1"/>
  <c r="F208" i="1"/>
  <c r="F207" i="1"/>
  <c r="I206" i="1"/>
  <c r="F206" i="1"/>
  <c r="E206" i="1"/>
  <c r="I205" i="1"/>
  <c r="F205" i="1"/>
  <c r="E205" i="1"/>
  <c r="I204" i="1"/>
  <c r="F204" i="1"/>
  <c r="E204" i="1"/>
  <c r="I203" i="1"/>
  <c r="F203" i="1"/>
  <c r="E203" i="1"/>
  <c r="F201" i="1"/>
  <c r="I200" i="1"/>
  <c r="F200" i="1"/>
  <c r="E200" i="1"/>
  <c r="I199" i="1"/>
  <c r="F199" i="1"/>
  <c r="E199" i="1"/>
  <c r="I198" i="1"/>
  <c r="F198" i="1"/>
  <c r="E198" i="1"/>
  <c r="I197" i="1"/>
  <c r="F197" i="1"/>
  <c r="E197" i="1"/>
  <c r="I196" i="1"/>
  <c r="F196" i="1"/>
  <c r="E196" i="1"/>
  <c r="I195" i="1"/>
  <c r="F195" i="1"/>
  <c r="E195" i="1"/>
  <c r="I194" i="1"/>
  <c r="F194" i="1"/>
  <c r="E194" i="1"/>
  <c r="I193" i="1"/>
  <c r="F193" i="1"/>
  <c r="E193" i="1"/>
  <c r="I192" i="1"/>
  <c r="F192" i="1"/>
  <c r="E192" i="1"/>
  <c r="I191" i="1"/>
  <c r="F191" i="1"/>
  <c r="E191" i="1"/>
  <c r="I190" i="1"/>
  <c r="F190" i="1"/>
  <c r="E190" i="1"/>
  <c r="I189" i="1"/>
  <c r="F189" i="1"/>
  <c r="E189" i="1"/>
  <c r="F188" i="1"/>
  <c r="F187" i="1"/>
  <c r="I186" i="1"/>
  <c r="F186" i="1"/>
  <c r="E186" i="1"/>
  <c r="I185" i="1"/>
  <c r="F185" i="1"/>
  <c r="B185" i="1"/>
  <c r="E185" i="1" s="1"/>
  <c r="F184" i="1"/>
  <c r="I183" i="1"/>
  <c r="F183" i="1"/>
  <c r="E183" i="1"/>
  <c r="I182" i="1"/>
  <c r="F182" i="1"/>
  <c r="E182" i="1"/>
  <c r="I181" i="1"/>
  <c r="F181" i="1"/>
  <c r="E181" i="1"/>
  <c r="I180" i="1"/>
  <c r="F180" i="1"/>
  <c r="E180" i="1"/>
  <c r="I179" i="1"/>
  <c r="F179" i="1"/>
  <c r="E179" i="1"/>
  <c r="I176" i="1"/>
  <c r="F176" i="1"/>
  <c r="E176" i="1"/>
  <c r="I175" i="1"/>
  <c r="F175" i="1"/>
  <c r="E175" i="1"/>
  <c r="B175" i="1"/>
  <c r="F174" i="1"/>
  <c r="I173" i="1"/>
  <c r="F173" i="1"/>
  <c r="E173" i="1"/>
  <c r="I172" i="1"/>
  <c r="F172" i="1"/>
  <c r="E172" i="1"/>
  <c r="I171" i="1"/>
  <c r="F171" i="1"/>
  <c r="E171" i="1"/>
  <c r="I170" i="1"/>
  <c r="F170" i="1"/>
  <c r="E170" i="1"/>
  <c r="F169" i="1"/>
  <c r="F168" i="1"/>
  <c r="I167" i="1"/>
  <c r="F167" i="1"/>
  <c r="E167" i="1"/>
  <c r="I166" i="1"/>
  <c r="F166" i="1"/>
  <c r="E166" i="1"/>
  <c r="I165" i="1"/>
  <c r="F165" i="1"/>
  <c r="E165" i="1"/>
  <c r="I164" i="1"/>
  <c r="F164" i="1"/>
  <c r="E164" i="1"/>
  <c r="I163" i="1"/>
  <c r="F163" i="1"/>
  <c r="E163" i="1"/>
  <c r="I162" i="1"/>
  <c r="F162" i="1"/>
  <c r="E162" i="1"/>
  <c r="I161" i="1"/>
  <c r="F161" i="1"/>
  <c r="E161" i="1"/>
  <c r="I160" i="1"/>
  <c r="F160" i="1"/>
  <c r="E160" i="1"/>
  <c r="I159" i="1"/>
  <c r="F159" i="1"/>
  <c r="E159" i="1"/>
  <c r="I158" i="1"/>
  <c r="F158" i="1"/>
  <c r="E158" i="1"/>
  <c r="I157" i="1"/>
  <c r="F157" i="1"/>
  <c r="E157" i="1"/>
  <c r="I156" i="1"/>
  <c r="F156" i="1"/>
  <c r="E156" i="1"/>
  <c r="F155" i="1"/>
  <c r="F154" i="1"/>
  <c r="I153" i="1"/>
  <c r="F153" i="1"/>
  <c r="E153" i="1"/>
  <c r="I152" i="1"/>
  <c r="F152" i="1"/>
  <c r="E152" i="1"/>
  <c r="I151" i="1"/>
  <c r="F151" i="1"/>
  <c r="E151" i="1"/>
  <c r="I150" i="1"/>
  <c r="F150" i="1"/>
  <c r="E150" i="1"/>
  <c r="F149" i="1"/>
  <c r="F148" i="1"/>
  <c r="F147" i="1"/>
  <c r="I146" i="1"/>
  <c r="F146" i="1"/>
  <c r="E146" i="1"/>
  <c r="I145" i="1"/>
  <c r="F145" i="1"/>
  <c r="E145" i="1"/>
  <c r="I142" i="1"/>
  <c r="F142" i="1"/>
  <c r="E142" i="1"/>
  <c r="B142" i="1"/>
  <c r="F141" i="1"/>
  <c r="I140" i="1"/>
  <c r="F140" i="1"/>
  <c r="E140" i="1"/>
  <c r="I139" i="1"/>
  <c r="F139" i="1"/>
  <c r="E139" i="1"/>
  <c r="F137" i="1"/>
  <c r="I136" i="1"/>
  <c r="F136" i="1"/>
  <c r="E136" i="1"/>
  <c r="I135" i="1"/>
  <c r="F135" i="1"/>
  <c r="E135" i="1"/>
  <c r="I134" i="1"/>
  <c r="F134" i="1"/>
  <c r="E134" i="1"/>
  <c r="F133" i="1"/>
  <c r="F132" i="1"/>
  <c r="I131" i="1"/>
  <c r="F131" i="1"/>
  <c r="E131" i="1"/>
  <c r="I130" i="1"/>
  <c r="F130" i="1"/>
  <c r="E130" i="1"/>
  <c r="I129" i="1"/>
  <c r="F129" i="1"/>
  <c r="E129" i="1"/>
  <c r="I128" i="1"/>
  <c r="F128" i="1"/>
  <c r="E128" i="1"/>
  <c r="I127" i="1"/>
  <c r="F127" i="1"/>
  <c r="E127" i="1"/>
  <c r="F125" i="1"/>
  <c r="I124" i="1"/>
  <c r="F124" i="1"/>
  <c r="E124" i="1"/>
  <c r="I123" i="1"/>
  <c r="F123" i="1"/>
  <c r="E123" i="1"/>
  <c r="I122" i="1"/>
  <c r="F122" i="1"/>
  <c r="E122" i="1"/>
  <c r="F121" i="1"/>
  <c r="F120" i="1"/>
  <c r="I119" i="1"/>
  <c r="F119" i="1"/>
  <c r="E119" i="1"/>
  <c r="B119" i="1"/>
  <c r="I118" i="1"/>
  <c r="F118" i="1"/>
  <c r="E118" i="1"/>
  <c r="B118" i="1"/>
  <c r="I117" i="1"/>
  <c r="F117" i="1"/>
  <c r="B117" i="1"/>
  <c r="E117" i="1" s="1"/>
  <c r="F116" i="1"/>
  <c r="I115" i="1"/>
  <c r="F115" i="1"/>
  <c r="E115" i="1"/>
  <c r="I114" i="1"/>
  <c r="F114" i="1"/>
  <c r="E114" i="1"/>
  <c r="I113" i="1"/>
  <c r="F113" i="1"/>
  <c r="E113" i="1"/>
  <c r="I112" i="1"/>
  <c r="F112" i="1"/>
  <c r="E112" i="1"/>
  <c r="F111" i="1"/>
  <c r="F110" i="1"/>
  <c r="I109" i="1"/>
  <c r="F109" i="1"/>
  <c r="E109" i="1"/>
  <c r="I108" i="1"/>
  <c r="F108" i="1"/>
  <c r="E108" i="1"/>
  <c r="I107" i="1"/>
  <c r="F107" i="1"/>
  <c r="E107" i="1"/>
  <c r="I106" i="1"/>
  <c r="F106" i="1"/>
  <c r="E106" i="1"/>
  <c r="I105" i="1"/>
  <c r="F105" i="1"/>
  <c r="E105" i="1"/>
  <c r="I104" i="1"/>
  <c r="F104" i="1"/>
  <c r="E104" i="1"/>
  <c r="I103" i="1"/>
  <c r="F103" i="1"/>
  <c r="E103" i="1"/>
  <c r="F102" i="1"/>
  <c r="F101" i="1"/>
  <c r="I100" i="1"/>
  <c r="F100" i="1"/>
  <c r="E100" i="1"/>
  <c r="I99" i="1"/>
  <c r="F99" i="1"/>
  <c r="E99" i="1"/>
  <c r="F97" i="1"/>
  <c r="I96" i="1"/>
  <c r="F96" i="1"/>
  <c r="E96" i="1"/>
  <c r="I95" i="1"/>
  <c r="F95" i="1"/>
  <c r="E95" i="1"/>
  <c r="I94" i="1"/>
  <c r="F94" i="1"/>
  <c r="E94" i="1"/>
  <c r="I93" i="1"/>
  <c r="F93" i="1"/>
  <c r="E93" i="1"/>
  <c r="I92" i="1"/>
  <c r="F92" i="1"/>
  <c r="E92" i="1"/>
  <c r="I91" i="1"/>
  <c r="F91" i="1"/>
  <c r="E91" i="1"/>
  <c r="F90" i="1"/>
  <c r="F89" i="1"/>
  <c r="I88" i="1"/>
  <c r="F88" i="1"/>
  <c r="B88" i="1"/>
  <c r="E88" i="1" s="1"/>
  <c r="F87" i="1"/>
  <c r="I86" i="1"/>
  <c r="F86" i="1"/>
  <c r="E86" i="1"/>
  <c r="I85" i="1"/>
  <c r="F85" i="1"/>
  <c r="E85" i="1"/>
  <c r="F84" i="1"/>
  <c r="F83" i="1"/>
  <c r="I82" i="1"/>
  <c r="F82" i="1"/>
  <c r="E82" i="1"/>
  <c r="B82" i="1"/>
  <c r="I81" i="1"/>
  <c r="F81" i="1"/>
  <c r="E81" i="1"/>
  <c r="B81" i="1"/>
  <c r="I80" i="1"/>
  <c r="F80" i="1"/>
  <c r="E80" i="1"/>
  <c r="I79" i="1"/>
  <c r="F79" i="1"/>
  <c r="E79" i="1"/>
  <c r="I78" i="1"/>
  <c r="F78" i="1"/>
  <c r="E78" i="1"/>
  <c r="I76" i="1"/>
  <c r="F76" i="1"/>
  <c r="E76" i="1"/>
  <c r="I75" i="1"/>
  <c r="F75" i="1"/>
  <c r="E75" i="1"/>
  <c r="I73" i="1"/>
  <c r="F73" i="1"/>
  <c r="E73" i="1"/>
  <c r="I72" i="1"/>
  <c r="F72" i="1"/>
  <c r="E72" i="1"/>
  <c r="I71" i="1"/>
  <c r="F71" i="1"/>
  <c r="E71" i="1"/>
  <c r="I70" i="1"/>
  <c r="F70" i="1"/>
  <c r="E70" i="1"/>
  <c r="I69" i="1"/>
  <c r="F69" i="1"/>
  <c r="E69" i="1"/>
  <c r="I68" i="1"/>
  <c r="F68" i="1"/>
  <c r="E68" i="1"/>
  <c r="I67" i="1"/>
  <c r="F67" i="1"/>
  <c r="E67" i="1"/>
  <c r="I66" i="1"/>
  <c r="F66" i="1"/>
  <c r="E66" i="1"/>
  <c r="I65" i="1"/>
  <c r="F65" i="1"/>
  <c r="B65" i="1"/>
  <c r="E65" i="1" s="1"/>
  <c r="I64" i="1"/>
  <c r="F64" i="1"/>
  <c r="B64" i="1"/>
  <c r="E64" i="1" s="1"/>
  <c r="F63" i="1"/>
  <c r="I62" i="1"/>
  <c r="F62" i="1"/>
  <c r="E62" i="1"/>
  <c r="I61" i="1"/>
  <c r="F61" i="1"/>
  <c r="E61" i="1"/>
  <c r="F60" i="1"/>
  <c r="I59" i="1"/>
  <c r="F59" i="1"/>
  <c r="E59" i="1"/>
  <c r="I58" i="1"/>
  <c r="F58" i="1"/>
  <c r="E58" i="1"/>
  <c r="I57" i="1"/>
  <c r="F57" i="1"/>
  <c r="E57" i="1"/>
  <c r="I56" i="1"/>
  <c r="F56" i="1"/>
  <c r="E56" i="1"/>
  <c r="I55" i="1"/>
  <c r="F55" i="1"/>
  <c r="E55" i="1"/>
  <c r="I54" i="1"/>
  <c r="F54" i="1"/>
  <c r="E54" i="1"/>
  <c r="F53" i="1"/>
  <c r="F52" i="1"/>
  <c r="I51" i="1"/>
  <c r="F51" i="1"/>
  <c r="E51" i="1"/>
  <c r="I50" i="1"/>
  <c r="F50" i="1"/>
  <c r="E50" i="1"/>
  <c r="I49" i="1"/>
  <c r="F49" i="1"/>
  <c r="E49" i="1"/>
  <c r="I48" i="1"/>
  <c r="F48" i="1"/>
  <c r="E48" i="1"/>
  <c r="I47" i="1"/>
  <c r="F47" i="1"/>
  <c r="E47" i="1"/>
  <c r="F46" i="1"/>
  <c r="F45" i="1"/>
  <c r="I44" i="1"/>
  <c r="F44" i="1"/>
  <c r="E44" i="1"/>
  <c r="I43" i="1"/>
  <c r="F43" i="1"/>
  <c r="E43" i="1"/>
  <c r="F42" i="1"/>
  <c r="F41" i="1"/>
  <c r="I40" i="1"/>
  <c r="F40" i="1"/>
  <c r="E40" i="1"/>
  <c r="I39" i="1"/>
  <c r="F39" i="1"/>
  <c r="E39" i="1"/>
  <c r="I38" i="1"/>
  <c r="F38" i="1"/>
  <c r="E38" i="1"/>
  <c r="I37" i="1"/>
  <c r="F37" i="1"/>
  <c r="E37" i="1"/>
  <c r="F36" i="1"/>
  <c r="F35" i="1"/>
  <c r="I34" i="1"/>
  <c r="F34" i="1"/>
  <c r="E34" i="1"/>
  <c r="I33" i="1"/>
  <c r="F33" i="1"/>
  <c r="E33" i="1"/>
  <c r="I32" i="1"/>
  <c r="F32" i="1"/>
  <c r="E32" i="1"/>
  <c r="I31" i="1"/>
  <c r="F31" i="1"/>
  <c r="E31" i="1"/>
  <c r="I30" i="1"/>
  <c r="F30" i="1"/>
  <c r="E30" i="1"/>
  <c r="I29" i="1"/>
  <c r="F29" i="1"/>
  <c r="E29" i="1"/>
  <c r="I28" i="1"/>
  <c r="F28" i="1"/>
  <c r="E28" i="1"/>
  <c r="I27" i="1"/>
  <c r="F27" i="1"/>
  <c r="E27" i="1"/>
  <c r="I26" i="1"/>
  <c r="F26" i="1"/>
  <c r="E26" i="1"/>
  <c r="F25" i="1"/>
  <c r="F24" i="1"/>
  <c r="I23" i="1"/>
  <c r="F23" i="1"/>
  <c r="E23" i="1"/>
  <c r="I22" i="1"/>
  <c r="F22" i="1"/>
  <c r="E22" i="1"/>
  <c r="I21" i="1"/>
  <c r="F21" i="1"/>
  <c r="E21" i="1"/>
  <c r="F20" i="1"/>
  <c r="F19" i="1"/>
  <c r="I18" i="1"/>
  <c r="F18" i="1"/>
  <c r="E18" i="1"/>
  <c r="I17" i="1"/>
  <c r="F17" i="1"/>
  <c r="E17" i="1"/>
  <c r="F16" i="1"/>
  <c r="F15" i="1"/>
  <c r="I14" i="1"/>
  <c r="F14" i="1"/>
  <c r="E14" i="1"/>
  <c r="I13" i="1"/>
  <c r="F13" i="1"/>
  <c r="E13" i="1"/>
  <c r="I12" i="1"/>
  <c r="F12" i="1"/>
  <c r="E12" i="1"/>
  <c r="F11" i="1"/>
  <c r="F10" i="1"/>
  <c r="I9" i="1"/>
  <c r="F9" i="1"/>
  <c r="E9" i="1"/>
  <c r="I8" i="1"/>
  <c r="F8" i="1"/>
  <c r="E8" i="1"/>
  <c r="I7" i="1"/>
  <c r="F7" i="1"/>
  <c r="E7" i="1"/>
</calcChain>
</file>

<file path=xl/sharedStrings.xml><?xml version="1.0" encoding="utf-8"?>
<sst xmlns="http://schemas.openxmlformats.org/spreadsheetml/2006/main" count="837" uniqueCount="449">
  <si>
    <t>1st</t>
  </si>
  <si>
    <t>2nd</t>
  </si>
  <si>
    <t>Sub-level acc</t>
  </si>
  <si>
    <t>Name</t>
  </si>
  <si>
    <t>2nd level Acc. - Name</t>
  </si>
  <si>
    <t>WP - HCM</t>
  </si>
  <si>
    <t>Leadsheet</t>
  </si>
  <si>
    <t>Item on FSs</t>
  </si>
  <si>
    <t>FSs code</t>
  </si>
  <si>
    <t>LOẠI TK TÀI SẢN</t>
  </si>
  <si>
    <t>Tiền mặt</t>
  </si>
  <si>
    <t>Tiền Việt Nam</t>
  </si>
  <si>
    <t>D100. CASH &amp; CASH EQUIVALENTS</t>
  </si>
  <si>
    <t>111 ▪ Tiền</t>
  </si>
  <si>
    <t>Ngoại tệ</t>
  </si>
  <si>
    <t>Vàng tiền tệ</t>
  </si>
  <si>
    <t>Tiền gửi Ngân hàng</t>
  </si>
  <si>
    <t>Tiền đang chuyển</t>
  </si>
  <si>
    <t>Chứng khoán kinh doanh</t>
  </si>
  <si>
    <t>Cổ phiếu</t>
  </si>
  <si>
    <t>D200. SHORT TERM INVESTMENTS</t>
  </si>
  <si>
    <t>121 ▪ Chứng khoán kinh doanh</t>
  </si>
  <si>
    <t>Trái phiếu</t>
  </si>
  <si>
    <t>Chứng khoán và công cụ tài chính khác</t>
  </si>
  <si>
    <t>Đầu tư nắm giữ đến ngày đáo hạn</t>
  </si>
  <si>
    <t>Tiền gửi có kỳ hạn (=&lt; 3 tháng)</t>
  </si>
  <si>
    <t>112 ▪ Các khoản tương đương tiền</t>
  </si>
  <si>
    <t>Tiền gửi có kỳ hạn (3 tháng &lt; X =&lt;12 tháng)</t>
  </si>
  <si>
    <t>123 ▪ Đầu tư nắm giữ đến ngày đáo hạn</t>
  </si>
  <si>
    <t>Tiền gửi có kỳ hạn (&gt; 12 tháng)</t>
  </si>
  <si>
    <t>D700. LONG TERM INVESTMENT &amp; INVESTMENT PROPERTY</t>
  </si>
  <si>
    <t>255 ▪ Đầu tư nắm giữ đến ngày đáo hạn</t>
  </si>
  <si>
    <t>Cho vay</t>
  </si>
  <si>
    <t>135 ▪ Phải thu về cho vay ngắn hạn</t>
  </si>
  <si>
    <t>1283a</t>
  </si>
  <si>
    <t>Cho vay - dài hạn</t>
  </si>
  <si>
    <t>215 ▪ Phải thu về cho vay dài hạn</t>
  </si>
  <si>
    <t>Các khoản đầu tư khác nắm giữ đến ngày đáo hạn</t>
  </si>
  <si>
    <t>1288a</t>
  </si>
  <si>
    <t>Dài hạn - Các khoản đầu tư khác nắm giữ đến ngày đáo hạn</t>
  </si>
  <si>
    <t>1288 (&lt;3 tháng)</t>
  </si>
  <si>
    <t>Phải thu của khách hàng</t>
  </si>
  <si>
    <t>Phải thu của khách hàng (ngắn hạn)</t>
  </si>
  <si>
    <t>D300. TRADE RECEIVABLES</t>
  </si>
  <si>
    <t>131 ▪ Phải thu ngắn hạn của khách hàng</t>
  </si>
  <si>
    <t>1311x</t>
  </si>
  <si>
    <t>Người mua trả tiền trước (ngắn hạn)</t>
  </si>
  <si>
    <t>312 ▪ Người mua trả tiền trước ngắn hạn</t>
  </si>
  <si>
    <t>Phải thu của khách hàng (dài hạn)</t>
  </si>
  <si>
    <t>211 ▪ Phải thu dài hạn của khách hàng</t>
  </si>
  <si>
    <t>1312x</t>
  </si>
  <si>
    <t>Người mua trả tiền trước (dài hạn)</t>
  </si>
  <si>
    <t>332 ▪ Người mua trả tiền trước dài hạn</t>
  </si>
  <si>
    <t>Thuế GTGT được khấu trừ</t>
  </si>
  <si>
    <t>Thuế GTGT được khấu trừ của hàng hóa, dịch vụ</t>
  </si>
  <si>
    <t>E300. TAX BALANCES &amp; TAX EXPENSES</t>
  </si>
  <si>
    <t>152 ▪ Thuế GTGT được khấu trừ</t>
  </si>
  <si>
    <t>Thuế GTGT được khấu trừ của TSCĐ</t>
  </si>
  <si>
    <t>Phải thu nội bộ</t>
  </si>
  <si>
    <t>Vốn kinh doanh ở các đơn vị trực thuộc</t>
  </si>
  <si>
    <t>213 ▪ Vốn kinh doanh ở các đơn vị trực thuộc</t>
  </si>
  <si>
    <t>Phải thu nội bộ về chênh lệch tỷ giá</t>
  </si>
  <si>
    <t>133 ▪ Phải thu nội bộ ngắn hạn</t>
  </si>
  <si>
    <t>Phải thu nội bộ về chi phí đi vay đủ điều kiện được vốn hoá</t>
  </si>
  <si>
    <t>Phải thu nội bộ khác</t>
  </si>
  <si>
    <t>136a</t>
  </si>
  <si>
    <t>Phải thu nội bộ (dài hạn)</t>
  </si>
  <si>
    <t>214 ▪ Phải thu nội bộ dài hạn</t>
  </si>
  <si>
    <t>Phải thu khác</t>
  </si>
  <si>
    <t>Tài sản thiếu chờ xử lý</t>
  </si>
  <si>
    <t>D800. OTHERS ASSETS</t>
  </si>
  <si>
    <t>139 ▪ Tài sản thiếu chờ xử lý</t>
  </si>
  <si>
    <t>Phải thu về cổ phần hoá</t>
  </si>
  <si>
    <t>136 ▪ Phải thu ngắn hạn khác</t>
  </si>
  <si>
    <t>138x</t>
  </si>
  <si>
    <t>Dư có TK 138 (ngắn hạn)</t>
  </si>
  <si>
    <t>319 ▪ Phải trả ngắn hạn khác</t>
  </si>
  <si>
    <t>138a</t>
  </si>
  <si>
    <t>Phải thu khác - dài hạn</t>
  </si>
  <si>
    <t>216 ▪ Phải thu dài hạn khác</t>
  </si>
  <si>
    <t>138ax</t>
  </si>
  <si>
    <t>Dư có TK 138 (dài hạn)</t>
  </si>
  <si>
    <t>337 ▪ Phải trả dài hạn khác</t>
  </si>
  <si>
    <t>Tạm ứng</t>
  </si>
  <si>
    <t>Tạm ứng - dài hạn</t>
  </si>
  <si>
    <t xml:space="preserve">Hàng mua đang đi đường </t>
  </si>
  <si>
    <t>D400. INVENTORIES</t>
  </si>
  <si>
    <t>141 ▪ Hàng tồn kho</t>
  </si>
  <si>
    <t>Nguyên liệu, vật liệu</t>
  </si>
  <si>
    <t>Công cụ, dụng cụ</t>
  </si>
  <si>
    <t>Công cụ, dụng cụ</t>
  </si>
  <si>
    <t>Bao bì luân chuyển</t>
  </si>
  <si>
    <t>Đồ dùng cho thuê</t>
  </si>
  <si>
    <t>Thiết bị, phụ tùng thay thế</t>
  </si>
  <si>
    <t>1534a</t>
  </si>
  <si>
    <t>Thiết bị, phụ tùng thay thế - dài hạn</t>
  </si>
  <si>
    <t>263 ▪ Thiết bị, vật tư, phụ tùng thay thế dài hạn</t>
  </si>
  <si>
    <t>Chi phí sản xuất, kinh doanh dở dang</t>
  </si>
  <si>
    <t>Chi phí sản xuất, kinh doanh dở dang dài hạn</t>
  </si>
  <si>
    <t>241 ▪ Chi phí sản xuất, kinh doanh dở dang dài hạn</t>
  </si>
  <si>
    <t>Thành phẩm</t>
  </si>
  <si>
    <t>Thành phẩm nhập kho</t>
  </si>
  <si>
    <t>Thành phẩm bất động sản</t>
  </si>
  <si>
    <t>Hàng hóa</t>
  </si>
  <si>
    <t>Giá mua hàng hóa</t>
  </si>
  <si>
    <t>Chi phí thu mua hàng hóa</t>
  </si>
  <si>
    <t xml:space="preserve">Hàng hóa bất động sản </t>
  </si>
  <si>
    <t>Hàng gửi đi bán</t>
  </si>
  <si>
    <t>Hàng hoá kho bảo thuế</t>
  </si>
  <si>
    <t>Chi sự nghiệp</t>
  </si>
  <si>
    <t>Chi sự nghiệp năm trước</t>
  </si>
  <si>
    <t>431 ▪ Nguồn kinh phí</t>
  </si>
  <si>
    <t>Chi sự nghiệp năm nay</t>
  </si>
  <si>
    <t>Giao dịch mua bán lại trái phiếu chính phủ</t>
  </si>
  <si>
    <t>154 ▪ Giao dịch mua bán lại trái phiếu Chính phủ</t>
  </si>
  <si>
    <t>Tài sản cố định hữu hình</t>
  </si>
  <si>
    <t>Nhà cửa, vật kiến trúc</t>
  </si>
  <si>
    <t>D600. TANGIBLE AND INTANGIBLE FIXED ASSETS</t>
  </si>
  <si>
    <t>222   - Nguyên giá</t>
  </si>
  <si>
    <t>Máy móc, thiết bị</t>
  </si>
  <si>
    <t>Phương tiện vận tải, truyền dẫn</t>
  </si>
  <si>
    <t>Thiết bị, dụng cụ quản lý</t>
  </si>
  <si>
    <t>Cây lâu năm, súc vật làm việc và cho sản phẩm</t>
  </si>
  <si>
    <t xml:space="preserve">TSCĐ khác </t>
  </si>
  <si>
    <t>Tài sản cố định thuê tài chính</t>
  </si>
  <si>
    <t>TSCĐ hữu hình thuê tài chính</t>
  </si>
  <si>
    <t>225   - Nguyên giá</t>
  </si>
  <si>
    <t>TSCĐ vô hình thuê tài chính</t>
  </si>
  <si>
    <t>Tài sản cố định vô hình</t>
  </si>
  <si>
    <t>Quyền sử dụng đất</t>
  </si>
  <si>
    <t>228   - Nguyên giá</t>
  </si>
  <si>
    <t>Quyền phát hành</t>
  </si>
  <si>
    <t>Bản quyền, bằng sáng chế</t>
  </si>
  <si>
    <t>Nhãn hiệu, tên thương mại</t>
  </si>
  <si>
    <t>Chương trình phần mềm</t>
  </si>
  <si>
    <t>Giấy phép và giấy phép nhượng quyền</t>
  </si>
  <si>
    <t>TSCĐ vô hình khác</t>
  </si>
  <si>
    <t>Hao mòn tài sản cố định</t>
  </si>
  <si>
    <t>Hao mòn TSCĐ hữu hình</t>
  </si>
  <si>
    <t>223   - Giá trị hao mòn lũy kế</t>
  </si>
  <si>
    <t>Hao mòn TSCĐ thuê tài chính</t>
  </si>
  <si>
    <t>226   - Giá trị hao mòn lũy kế</t>
  </si>
  <si>
    <t xml:space="preserve">Hao mòn TSCĐ vô hình </t>
  </si>
  <si>
    <t>229   - Giá trị hao mòn lũy kế</t>
  </si>
  <si>
    <t>Hao mòn bất động sản đầu tư</t>
  </si>
  <si>
    <t>232   - Giá trị hao mòn lũy kế</t>
  </si>
  <si>
    <t>Bất động sản đầu tư</t>
  </si>
  <si>
    <t>231   - Nguyên giá</t>
  </si>
  <si>
    <t>Đầu tư vào công ty con</t>
  </si>
  <si>
    <t>251 ▪ Đầu tư vào công ty con</t>
  </si>
  <si>
    <t>Đầu tư vào công ty liên doanh, liên kết</t>
  </si>
  <si>
    <t>252 ▪ Đầu tư vào công ty liên doanh, liên kết</t>
  </si>
  <si>
    <t>Đầu tư khác</t>
  </si>
  <si>
    <t>Đầu tư góp vốn vào đơn vị khác</t>
  </si>
  <si>
    <t>253 ▪ Đầu tư góp vốn vào đơn vị khác</t>
  </si>
  <si>
    <t>155 ▪ Tài sản ngắn hạn khác</t>
  </si>
  <si>
    <t>2288a</t>
  </si>
  <si>
    <t>Đầu tư khác - dài hạn</t>
  </si>
  <si>
    <t>268 ▪ Tài sản dài hạn khác</t>
  </si>
  <si>
    <t>Dự phòng tổn thất tài sản</t>
  </si>
  <si>
    <t>Dự phòng giảm giá chứng khoán kinh doanh</t>
  </si>
  <si>
    <t>122 ▪ Dự phòng giảm giá chứng khoán kinh doanh</t>
  </si>
  <si>
    <t>Dự phòng tổn thất đầu tư vào đơn vị khác</t>
  </si>
  <si>
    <t>254 ▪ Dự phòng đầu tư tài chính dài hạn</t>
  </si>
  <si>
    <t>Dự phòng phải thu khó đòi</t>
  </si>
  <si>
    <t>137 ▪ Dự phòng phải thu ngắn hạn khó đòi</t>
  </si>
  <si>
    <t>2293a</t>
  </si>
  <si>
    <t>Dự phòng phải thu dài hạn khó đòi</t>
  </si>
  <si>
    <t>219 ▪ Dự phòng phải thu dài hạn khó đòi</t>
  </si>
  <si>
    <t>Dự phòng giảm giá hàng tồn kho</t>
  </si>
  <si>
    <t>149 ▪ Dự phòng giảm giá hàng tồn kho</t>
  </si>
  <si>
    <t xml:space="preserve">Xây dựng cơ bản dở dang </t>
  </si>
  <si>
    <t>Mua sắm TSCĐ</t>
  </si>
  <si>
    <t>242 ▪ Chi phí xây dựng cơ bản dở dang</t>
  </si>
  <si>
    <t>Xây dựng cơ bản</t>
  </si>
  <si>
    <t>Sửa chữa lớn TSCĐ</t>
  </si>
  <si>
    <t>Chi phí trả trước</t>
  </si>
  <si>
    <t>Chi phí trả trước ngắn hạn</t>
  </si>
  <si>
    <t>D500. PREPAYMENTS</t>
  </si>
  <si>
    <t>151 ▪ Chi phí trả trước ngắn hạn</t>
  </si>
  <si>
    <t>Chi phí trả trước dài hạn</t>
  </si>
  <si>
    <t>261 ▪ Chi phí trả trước dài hạn</t>
  </si>
  <si>
    <t>Tài sản thuế thu nhập hoãn lại</t>
  </si>
  <si>
    <t>262 ▪ Tài sản thuế thu nhập hoãn lại</t>
  </si>
  <si>
    <t>Cầm cố, thế chấp, ký quỹ, ký cược</t>
  </si>
  <si>
    <t>Cầm cố, thế chấp, ký quỹ, ký cược (ngắn hạn)</t>
  </si>
  <si>
    <t>Cầm cố, thế chấp, ký quỹ, ký cược (dài hạn)</t>
  </si>
  <si>
    <t>LOẠI TK NỢ PHẢI TRẢ</t>
  </si>
  <si>
    <t>Phải trả cho người bán</t>
  </si>
  <si>
    <t>E200. TRADE PAYABLES</t>
  </si>
  <si>
    <t>311 ▪ Phải trả cho người bán ngắn hạn</t>
  </si>
  <si>
    <t>3311x</t>
  </si>
  <si>
    <t>Trả trước cho người bán (ngắn hạn - N331)</t>
  </si>
  <si>
    <t>132 ▪ Trả trước cho người bán ngắn hạn</t>
  </si>
  <si>
    <t>Phải trả dài hạn cho người bán</t>
  </si>
  <si>
    <t>331 ▪ Phải trả dài hạn người bán</t>
  </si>
  <si>
    <t>3312x</t>
  </si>
  <si>
    <t xml:space="preserve">Trả trước cho người bán (dài hạn - N331)  </t>
  </si>
  <si>
    <t>212 ▪ Trả trước cho người bán dài hạn</t>
  </si>
  <si>
    <t>Thuế và các khoản phải nộp Nhà nước</t>
  </si>
  <si>
    <t>Thuế GTGT đầu ra</t>
  </si>
  <si>
    <t>313 ▪ Thuế và các khoản phải nộp Nhà nước</t>
  </si>
  <si>
    <t>Thuế GTGT hàng nhập khẩu</t>
  </si>
  <si>
    <t xml:space="preserve">Thuế tiêu thụ đặc biệt </t>
  </si>
  <si>
    <t>Thuế xuất, nhập khẩu</t>
  </si>
  <si>
    <t xml:space="preserve">Thuế thu nhập doanh nghiệp </t>
  </si>
  <si>
    <t>Thuế thu nhập cá nhân</t>
  </si>
  <si>
    <t>Thuế tài nguyên</t>
  </si>
  <si>
    <t>Thuế nhà đất, tiền thuê đất</t>
  </si>
  <si>
    <t>Thuế bảo vệ môi trường</t>
  </si>
  <si>
    <t>Các loại thuế khác</t>
  </si>
  <si>
    <t>Phí, lệ phí và các khoản phải nộp khác</t>
  </si>
  <si>
    <t>333x</t>
  </si>
  <si>
    <t>Dư Nợ TK 333 (Thuế và các khoản phải thu nhà nước)</t>
  </si>
  <si>
    <t>153 ▪ Thuế và các khoản khác phải thu Nhà nước</t>
  </si>
  <si>
    <t>Phải trả người lao động</t>
  </si>
  <si>
    <t>Phải trả công nhân viên</t>
  </si>
  <si>
    <t>E400. PAYABLES TO EMPLOYEES</t>
  </si>
  <si>
    <t>314 ▪ Phải trả người lao động</t>
  </si>
  <si>
    <t>Phải trả người lao động khác</t>
  </si>
  <si>
    <t>334x</t>
  </si>
  <si>
    <t>Dư nợ TK 334</t>
  </si>
  <si>
    <t>334ax</t>
  </si>
  <si>
    <t>Dư nợ TK 334 - dài hạn</t>
  </si>
  <si>
    <t>Chi phí phải trả</t>
  </si>
  <si>
    <t>E500. ACCRUALS &amp; PROVISIONS</t>
  </si>
  <si>
    <t>315 ▪ Chi phí phải trả ngắn hạn</t>
  </si>
  <si>
    <t>335a</t>
  </si>
  <si>
    <t>Chi phí phải trả dài hạn</t>
  </si>
  <si>
    <t>333 ▪ Chi phí phải trả dài hạn</t>
  </si>
  <si>
    <t>Phải trả nội bộ</t>
  </si>
  <si>
    <t>Phải trả nội bộ về vốn kinh doanh</t>
  </si>
  <si>
    <t>334 ▪ Phải trả nội bộ về vốn kinh doanh</t>
  </si>
  <si>
    <t>Phải trả nội bộ về chênh lệch tỷ giá</t>
  </si>
  <si>
    <t>316 ▪ Phải trả nội bộ ngắn hạn</t>
  </si>
  <si>
    <t>Phải trả nội bộ về chi phí đi vay đủ điều kiện được vốn hoá</t>
  </si>
  <si>
    <t>Phải trả nội bộ khác</t>
  </si>
  <si>
    <t>3368a</t>
  </si>
  <si>
    <t>Phải trả nội bộ khác - dài hạn</t>
  </si>
  <si>
    <t>335 ▪ Phải trả nội bộ dài hạn</t>
  </si>
  <si>
    <t>Thanh toán theo tiến độ kế hoạch hợp đồng xây dựng</t>
  </si>
  <si>
    <t>317 ▪ Phải trả theo tiến độ kế hoạch HĐXD</t>
  </si>
  <si>
    <t>337x</t>
  </si>
  <si>
    <t>Bên Nợ TK 337 (Phải thu theo tiến độ kế hoạch hợp đồng xây dựng)</t>
  </si>
  <si>
    <t>134 ▪ Phải thu theo tiến độ kế hoạch HĐXD</t>
  </si>
  <si>
    <t>Phải trả, phải nộp khác</t>
  </si>
  <si>
    <t>Tài sản thừa chờ giải quyết</t>
  </si>
  <si>
    <t>E600. OTHER PAYABLES</t>
  </si>
  <si>
    <t>Kinh phí công đoàn</t>
  </si>
  <si>
    <t>Bảo hiểm xã hội</t>
  </si>
  <si>
    <t>Bảo hiểm y tế</t>
  </si>
  <si>
    <t>Phải trả về cổ phần hoá</t>
  </si>
  <si>
    <t>Bảo hiểm thất nghiệp</t>
  </si>
  <si>
    <t>Doanh thu chưa thực hiện</t>
  </si>
  <si>
    <t>318 ▪ Doanh thu chưa thực hiện ngắn hạn</t>
  </si>
  <si>
    <t>3387a</t>
  </si>
  <si>
    <t>Doanh thu chưa thực hiện - dài hạn</t>
  </si>
  <si>
    <t>336 ▪ Doanh thu chưa thực hiện dài hạn</t>
  </si>
  <si>
    <t xml:space="preserve">Phải trả, phải nộp khác </t>
  </si>
  <si>
    <t>338x</t>
  </si>
  <si>
    <t>Dư nợ TK 338</t>
  </si>
  <si>
    <t>338a</t>
  </si>
  <si>
    <t>Phải trả khác - dài hạn</t>
  </si>
  <si>
    <t>338ax</t>
  </si>
  <si>
    <t>Dư nợ TK 338 - dài hạn</t>
  </si>
  <si>
    <t>Vay và nợ thuê tài chính</t>
  </si>
  <si>
    <t>Các khoản đi vay (ngắn hạn)</t>
  </si>
  <si>
    <t>E100. LOANS AND BORROWING</t>
  </si>
  <si>
    <t>320 ▪ Vay và nợ thuê tài chính ngắn hạn</t>
  </si>
  <si>
    <t>Các khoản đi vay (dài hạn)</t>
  </si>
  <si>
    <t>338 ▪ Vay và nợ thuê tài chính dài hạn</t>
  </si>
  <si>
    <t>Nợ thuê tài chính (ngắn hạn)</t>
  </si>
  <si>
    <t>Nợ thuê tài chính (dài hạn)</t>
  </si>
  <si>
    <t>Trái phiếu phát hành</t>
  </si>
  <si>
    <t>Mệnh giá trái phiếu</t>
  </si>
  <si>
    <t>34311a</t>
  </si>
  <si>
    <t>Mệnh giá trái phiếu - dài hạn</t>
  </si>
  <si>
    <t>Chiết khấu trái phiếu</t>
  </si>
  <si>
    <t>Phụ trội trái phiếu</t>
  </si>
  <si>
    <t>Trái phiếu chuyển đổi</t>
  </si>
  <si>
    <t>339 ▪ Trái phiếu chuyển đổi</t>
  </si>
  <si>
    <t>Nhận ký quỹ, ký cược</t>
  </si>
  <si>
    <t>344a</t>
  </si>
  <si>
    <t>Nhận ký quỹ, ký cược dài hạn</t>
  </si>
  <si>
    <t>Thuế thu nhập hoãn lại phải trả</t>
  </si>
  <si>
    <t>341 ▪ Thuế thu nhập hoãn lại phải trả</t>
  </si>
  <si>
    <t>Dự phòng phải trả</t>
  </si>
  <si>
    <t>Dự phòng bảo hành sản phẩm hàng hóa</t>
  </si>
  <si>
    <t>321 ▪ Dự phòng phải trả ngắn hạn</t>
  </si>
  <si>
    <t>Dự phòng bảo hành công trình xây dựng</t>
  </si>
  <si>
    <t>Dự phòng tái cơ cấu doanh nghiệp</t>
  </si>
  <si>
    <t>Dự phòng phải trả khác</t>
  </si>
  <si>
    <t>Dự phòng phải trả dài hạn</t>
  </si>
  <si>
    <t>342 ▪ Dự phòng phải trả dài hạn</t>
  </si>
  <si>
    <t>Quỹ khen thưởng phúc lợi</t>
  </si>
  <si>
    <t>Quỹ khen thưởng</t>
  </si>
  <si>
    <t>F100. EQUITY &amp; FUNDS</t>
  </si>
  <si>
    <t>322 ▪ Quỹ khen thưởng, phúc lợi</t>
  </si>
  <si>
    <t>Quỹ phúc lợi</t>
  </si>
  <si>
    <t>Quỹ phúc lợi đã hình thành TSCĐ</t>
  </si>
  <si>
    <t>Quỹ thưởng ban quản lý điều hành công ty</t>
  </si>
  <si>
    <t>Quỹ phát triển khoa học và công nghệ</t>
  </si>
  <si>
    <t>Quỹ phát triển khoa học và công nghệ</t>
  </si>
  <si>
    <t>343 ▪ Quỹ phát triển khoa học và công nghệ</t>
  </si>
  <si>
    <t>Quỹ phát triển khoa học và công nghệ đã hình thành TSCĐ</t>
  </si>
  <si>
    <t>Quỹ bình ổn giá</t>
  </si>
  <si>
    <t>323 ▪ Quỹ bình ổn giá</t>
  </si>
  <si>
    <t>LOẠI TK VỐN CHỦ SỞ HỮU</t>
  </si>
  <si>
    <t>Vốn đầu tư của chủ sở hữu</t>
  </si>
  <si>
    <t>Cổ phiếu phổ thông có quyền biểu quyết</t>
  </si>
  <si>
    <t>411a   - Cổ phiếu phổ thông có quyền biểu quyết</t>
  </si>
  <si>
    <t>411a</t>
  </si>
  <si>
    <t>41112-1</t>
  </si>
  <si>
    <t>Cổ phiếu ưu đãi - VCSH</t>
  </si>
  <si>
    <t>411b   - Cổ phiếu ưu đãi</t>
  </si>
  <si>
    <t>411b</t>
  </si>
  <si>
    <t>41112-2</t>
  </si>
  <si>
    <t>Cổ phiếu ưu đãi - NPT</t>
  </si>
  <si>
    <t>340 ▪ Cổ phiếu ưu đãi</t>
  </si>
  <si>
    <t>Thặng dư vốn cổ phần</t>
  </si>
  <si>
    <t>412 ▪ Thặng dư vốn cổ phần</t>
  </si>
  <si>
    <t>Quyền chọn chuyển đổi trái phiếu</t>
  </si>
  <si>
    <t>413 ▪ Quyền chọn chuyển đổi trái phiếu</t>
  </si>
  <si>
    <t xml:space="preserve">Vốn khác </t>
  </si>
  <si>
    <t xml:space="preserve">414 ▪ Vốn khác của chủ sở hữu </t>
  </si>
  <si>
    <t>Chênh lệch đánh giá lại tài sản</t>
  </si>
  <si>
    <t>416 ▪ Chênh lệnh đánh giá lại tài sản</t>
  </si>
  <si>
    <t>Chênh lệch tỷ giá hối đoái</t>
  </si>
  <si>
    <t>Chênh lệch tỷ giá do đánh giá lại các khoản mục tiền tệ có gốc ngoại tệ</t>
  </si>
  <si>
    <t>417 ▪ Chênh lệch tỷ giá hối đoái</t>
  </si>
  <si>
    <t>Chênh lệch tỷ giá hối đoái trong giai đoạn trước hoạt động</t>
  </si>
  <si>
    <t>Quỹ đầu tư phát triển</t>
  </si>
  <si>
    <t>418 ▪ Quỹ đầu tư phát triển</t>
  </si>
  <si>
    <t>Quỹ hỗ trợ sắp xếp doanh nghiệp</t>
  </si>
  <si>
    <t>419 ▪ Quỹ hỗ trợ sắp xếp
   Doanh nghiệp</t>
  </si>
  <si>
    <t>Các quỹ khác thuộc vốn chủ sở hữu</t>
  </si>
  <si>
    <t>420 ▪ Quỹ khác thuộc vốn chủ sở hữu</t>
  </si>
  <si>
    <t>Cổ phiếu quỹ</t>
  </si>
  <si>
    <t xml:space="preserve">415 ▪ Cổ phiếu quỹ </t>
  </si>
  <si>
    <t>Lợi nhuận sau thuế chưa phân phối</t>
  </si>
  <si>
    <t>Lợi nhuận sau thuế chưa phân phối năm trước</t>
  </si>
  <si>
    <t>421a   - Lợi nhuận sau thuế chưa phân phối/(lỗ) lũy kế đến cuối kỳ trước</t>
  </si>
  <si>
    <t>421a</t>
  </si>
  <si>
    <t>Lợi nhuận sau thuế chưa phân phối năm nay</t>
  </si>
  <si>
    <t>421b   - Lợi nhuận sau thuế chưa phân phối/(lỗ) kỳ này</t>
  </si>
  <si>
    <t>421b</t>
  </si>
  <si>
    <t>Nguồn vốn đầu tư xây dựng cơ bản</t>
  </si>
  <si>
    <t>422 ▪ Nguồn vốn đầu tư XDCB</t>
  </si>
  <si>
    <t>Nguồn kinh phí sự nghiệp</t>
  </si>
  <si>
    <t>Nguồn kinh phí sự nghiệp năm trước</t>
  </si>
  <si>
    <t>Nguồn kinh phí sự nghiệp năm nay</t>
  </si>
  <si>
    <t>Nguồn kinh phí đã hình thành TSCĐ</t>
  </si>
  <si>
    <t>432 ▪ Nguồn kinh phí đã hình thành TSCĐ</t>
  </si>
  <si>
    <t>LOẠI TK DOANH THU</t>
  </si>
  <si>
    <t>Doanh thu bán hàng và cung cấp dịch vụ</t>
  </si>
  <si>
    <t>Doanh thu bán hàng hóa</t>
  </si>
  <si>
    <t>G100. SALE AND COST OF GOOD SOLD</t>
  </si>
  <si>
    <t>01 ▪ Doanh thu</t>
  </si>
  <si>
    <t>01</t>
  </si>
  <si>
    <t>Doanh thu bán các thành phẩm</t>
  </si>
  <si>
    <t>Doanh thu cung cấp dịch vụ</t>
  </si>
  <si>
    <t>Doanh thu trợ cấp, trợ giá</t>
  </si>
  <si>
    <t>Doanh thu kinh doanh bất động sản đầu tư</t>
  </si>
  <si>
    <t>Doanh thu khác</t>
  </si>
  <si>
    <t xml:space="preserve">Doanh thu hoạt động tài chính </t>
  </si>
  <si>
    <t>G200. FINANCIAL INCOMES &amp; FINANCIAL EXPENSES</t>
  </si>
  <si>
    <t>21 ▪ Doanh thu hoạt động tài chính</t>
  </si>
  <si>
    <t>Lãi tiền gửi</t>
  </si>
  <si>
    <t>Lãi chênh lệch tỷ giá đã thực hiện</t>
  </si>
  <si>
    <t>Lãi chênh lệch tỷ giá chưa thực hiện</t>
  </si>
  <si>
    <t>Cổ tức, lợi nhuận được chia</t>
  </si>
  <si>
    <t>Lãi thanh lý các khoản đầu tư tài chính</t>
  </si>
  <si>
    <t>Doanh thu hoạt động tài chính xác</t>
  </si>
  <si>
    <t>Các khoản giảm trừ doanh thu</t>
  </si>
  <si>
    <t>Chiết khấu thương mại</t>
  </si>
  <si>
    <t>02 ▪ Các khoản giảm trừ doanh thu</t>
  </si>
  <si>
    <t>02</t>
  </si>
  <si>
    <t>Giảm giá hàng bán</t>
  </si>
  <si>
    <t>Hàng bán bị trả lại</t>
  </si>
  <si>
    <t>LOẠI TK CHI PHÍ SẢN XUẤT, KINH DOANH</t>
  </si>
  <si>
    <t>Mua hàng</t>
  </si>
  <si>
    <t>Mua nguyên liệu, vật liệu</t>
  </si>
  <si>
    <t>Mua hàng hóa</t>
  </si>
  <si>
    <t>Chi phí nguyên liệu, vật liệu trực tiếp</t>
  </si>
  <si>
    <t>Chi phí nhân công trực tiếp</t>
  </si>
  <si>
    <t>Chi phí sử dụng máy thi công</t>
  </si>
  <si>
    <t>Chi phí nhân công</t>
  </si>
  <si>
    <t>Chi phí nguyên, vật liệu</t>
  </si>
  <si>
    <t>Chi phí dụng cụ sản xuất</t>
  </si>
  <si>
    <t>Chi phí khấu hao máy thi công</t>
  </si>
  <si>
    <t>Chi phí dịch vụ mua ngoài</t>
  </si>
  <si>
    <t>Chi phí bằng tiền khác</t>
  </si>
  <si>
    <t>Chi phí sản xuất chung</t>
  </si>
  <si>
    <t>Chi phí nhân viên phân xưởng</t>
  </si>
  <si>
    <t>Chi phí khấu hao TSCĐ</t>
  </si>
  <si>
    <t>Giá thành sản xuất</t>
  </si>
  <si>
    <t>Giá vốn hàng bán</t>
  </si>
  <si>
    <t>11 ▪ Giá vốn hàng bán</t>
  </si>
  <si>
    <t>Giá vốn bán hàng hóa</t>
  </si>
  <si>
    <t>Giá vốn bán các thành phẩm</t>
  </si>
  <si>
    <t>Giá vốn cung cấp dịch vụ</t>
  </si>
  <si>
    <t>Giá vốn kinh doanh bất động sản đầu tư</t>
  </si>
  <si>
    <t>Giá vốn khác</t>
  </si>
  <si>
    <t xml:space="preserve">Chi phí tài chính </t>
  </si>
  <si>
    <t>22 ▪ Chi phí hoạt động tài chính</t>
  </si>
  <si>
    <t>Chi phí lãi vay</t>
  </si>
  <si>
    <t>Lỗ chênh lệch tỷ giá đã thực hiện</t>
  </si>
  <si>
    <t>Lỗ chênh lệch tỷ giá chưa thực hiện</t>
  </si>
  <si>
    <t>Lỗ thanh lý các khoản đầu tư tài chính</t>
  </si>
  <si>
    <t>Dự phòng giảm giá các khoản đầu tư</t>
  </si>
  <si>
    <t>Chi phí tài chính khác</t>
  </si>
  <si>
    <t>Chi phí bán hàng</t>
  </si>
  <si>
    <t xml:space="preserve">Chi phí nhân viên </t>
  </si>
  <si>
    <t>G300. SELLING EXPENSES &amp; ADMINISTRATIVE EXPENSES</t>
  </si>
  <si>
    <t>25 ▪ Chi phí bán hàng</t>
  </si>
  <si>
    <t>Chi phí nguyên vật liệu, bao bì</t>
  </si>
  <si>
    <t>Chi phí dụng cụ, đồ dùng</t>
  </si>
  <si>
    <t>Chi phí khấu hao TSCĐ</t>
  </si>
  <si>
    <t>Chi phí bảo hành</t>
  </si>
  <si>
    <t>Chi phí dịch vụ mua ngoài</t>
  </si>
  <si>
    <t>Chi phí bằng tiền khác</t>
  </si>
  <si>
    <t>Chi phí quản lý doanh nghiệp</t>
  </si>
  <si>
    <t>Chi phí nhân viên quản lý</t>
  </si>
  <si>
    <t>26 ▪ Chi phí quản lý doanh nghiệp</t>
  </si>
  <si>
    <t>Chi phí vật liệu quản lý</t>
  </si>
  <si>
    <t>Chi phí đồ dùng văn phòng</t>
  </si>
  <si>
    <t>Thuế, phí và lệ phí</t>
  </si>
  <si>
    <t>Chi phí dự phòng</t>
  </si>
  <si>
    <t>LOẠI TK THU NHẬP KHÁC</t>
  </si>
  <si>
    <t>Thu nhập khác</t>
  </si>
  <si>
    <t>G400. OTHER INCOMES &amp; OTHER EXPENSES</t>
  </si>
  <si>
    <t>31 ▪ Thu nhập khác</t>
  </si>
  <si>
    <t>Thu nhập từ thanh lý tài sản</t>
  </si>
  <si>
    <t>Chênh lệch năng suất</t>
  </si>
  <si>
    <t>Thu từ bảo hiểm bồi thường hàng hỏng</t>
  </si>
  <si>
    <t>Hàng phi mậu dịch</t>
  </si>
  <si>
    <t>Thu hồi nợ khó đòi đã xóa sổ</t>
  </si>
  <si>
    <t>LOẠI TK CHI PHÍ KHÁC</t>
  </si>
  <si>
    <t>Chi phí khác</t>
  </si>
  <si>
    <t>32 ▪ Chi phí khác</t>
  </si>
  <si>
    <t>Lỗ do thanh lý tài sản</t>
  </si>
  <si>
    <t>Phạt vi phạm hành chính</t>
  </si>
  <si>
    <t>Khác</t>
  </si>
  <si>
    <t>Chi phí thuế thu nhập doanh nghiệp</t>
  </si>
  <si>
    <t>Chi phí thuế TNDN hiện hành</t>
  </si>
  <si>
    <t>51 ▪ Chi phí thuế thu nhập doanh nghiệp hiện hành</t>
  </si>
  <si>
    <t>Chi phí thuế TNDN hoãn lại</t>
  </si>
  <si>
    <t>52 ▪ Thu nhập/(chi phí) thuế TNDN hoãn lại</t>
  </si>
  <si>
    <t>Xác định kết quả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</si>
</sst>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1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top"/>
    </xf>
    <xf numFmtId="164" fontId="3" fillId="0" borderId="2" xfId="1" applyNumberFormat="1" applyFont="1" applyBorder="1" applyAlignment="1">
      <alignment horizontal="left" vertical="top"/>
    </xf>
    <xf numFmtId="0" fontId="3" fillId="0" borderId="3" xfId="1" applyNumberFormat="1" applyFont="1" applyBorder="1" applyAlignment="1">
      <alignment horizontal="center" vertical="top"/>
    </xf>
    <xf numFmtId="0" fontId="3" fillId="0" borderId="3" xfId="1" applyNumberFormat="1" applyFont="1" applyBorder="1" applyAlignment="1">
      <alignment horizontal="left" vertical="top"/>
    </xf>
    <xf numFmtId="43" fontId="4" fillId="0" borderId="3" xfId="1" applyFont="1" applyBorder="1" applyAlignment="1">
      <alignment horizontal="center" vertical="top"/>
    </xf>
    <xf numFmtId="43" fontId="3" fillId="0" borderId="3" xfId="1" applyFont="1" applyBorder="1" applyAlignment="1">
      <alignment horizontal="left" vertical="top"/>
    </xf>
    <xf numFmtId="43" fontId="5" fillId="0" borderId="3" xfId="1" applyFont="1" applyBorder="1" applyAlignment="1">
      <alignment horizontal="center" vertical="top"/>
    </xf>
    <xf numFmtId="0" fontId="3" fillId="0" borderId="3" xfId="1" applyNumberFormat="1" applyFont="1" applyBorder="1" applyAlignment="1">
      <alignment vertical="top"/>
    </xf>
    <xf numFmtId="43" fontId="3" fillId="0" borderId="3" xfId="1" applyFont="1" applyBorder="1" applyAlignment="1">
      <alignment horizontal="center" vertical="top"/>
    </xf>
    <xf numFmtId="43" fontId="2" fillId="0" borderId="3" xfId="1" applyFont="1" applyBorder="1" applyAlignment="1">
      <alignment vertical="top"/>
    </xf>
    <xf numFmtId="43" fontId="3" fillId="0" borderId="3" xfId="1" applyFont="1" applyBorder="1" applyAlignment="1">
      <alignment vertical="top"/>
    </xf>
    <xf numFmtId="43" fontId="3" fillId="0" borderId="3" xfId="1" applyFont="1" applyBorder="1" applyAlignment="1">
      <alignment vertical="top" wrapText="1"/>
    </xf>
    <xf numFmtId="43" fontId="3" fillId="0" borderId="3" xfId="1" applyFont="1" applyBorder="1" applyAlignment="1">
      <alignment horizontal="justify" vertical="top"/>
    </xf>
    <xf numFmtId="43" fontId="3" fillId="2" borderId="3" xfId="1" applyFont="1" applyFill="1" applyBorder="1" applyAlignment="1">
      <alignment horizontal="left" vertical="top"/>
    </xf>
    <xf numFmtId="0" fontId="3" fillId="2" borderId="3" xfId="1" applyNumberFormat="1" applyFont="1" applyFill="1" applyBorder="1" applyAlignment="1">
      <alignment vertical="top"/>
    </xf>
    <xf numFmtId="0" fontId="4" fillId="0" borderId="3" xfId="1" applyNumberFormat="1" applyFont="1" applyBorder="1" applyAlignment="1">
      <alignment horizontal="left" vertical="top"/>
    </xf>
    <xf numFmtId="43" fontId="4" fillId="0" borderId="3" xfId="1" applyFont="1" applyBorder="1" applyAlignment="1">
      <alignment vertical="top"/>
    </xf>
    <xf numFmtId="0" fontId="4" fillId="0" borderId="3" xfId="1" applyNumberFormat="1" applyFont="1" applyBorder="1" applyAlignment="1">
      <alignment vertical="top"/>
    </xf>
    <xf numFmtId="43" fontId="4" fillId="0" borderId="3" xfId="1" applyFont="1" applyBorder="1" applyAlignment="1">
      <alignment horizontal="left" vertical="top"/>
    </xf>
    <xf numFmtId="0" fontId="3" fillId="2" borderId="3" xfId="1" applyNumberFormat="1" applyFont="1" applyFill="1" applyBorder="1" applyAlignment="1">
      <alignment horizontal="left" vertical="top"/>
    </xf>
    <xf numFmtId="43" fontId="3" fillId="2" borderId="3" xfId="1" applyFont="1" applyFill="1" applyBorder="1" applyAlignment="1">
      <alignment vertical="top"/>
    </xf>
  </cellXfs>
  <cellStyles count="2">
    <cellStyle name="Comma 2" xfId="1" xr:uid="{83F6940C-D815-43E0-BCAF-675F8EE9A6B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E9A6-FCDA-4135-8769-EC9521219043}">
  <dimension ref="A1:I380"/>
  <sheetViews>
    <sheetView tabSelected="1" workbookViewId="0">
      <selection activeCell="C8" sqref="C8"/>
    </sheetView>
  </sheetViews>
  <sheetFormatPr defaultRowHeight="15" x14ac:dyDescent="0.25"/>
  <cols>
    <col min="1" max="1" width="3.85546875" bestFit="1" customWidth="1"/>
    <col min="2" max="2" width="4.85546875" bestFit="1" customWidth="1"/>
    <col min="3" max="3" width="13.7109375" bestFit="1" customWidth="1"/>
    <col min="4" max="4" width="59.5703125" bestFit="1" customWidth="1"/>
    <col min="5" max="5" width="65.42578125" bestFit="1" customWidth="1"/>
    <col min="6" max="6" width="6.5703125" bestFit="1" customWidth="1"/>
    <col min="7" max="7" width="53.85546875" bestFit="1" customWidth="1"/>
    <col min="8" max="8" width="60.5703125" bestFit="1" customWidth="1"/>
    <col min="9" max="9" width="5" bestFit="1" customWidth="1"/>
  </cols>
  <sheetData>
    <row r="1" spans="1:9" ht="38.2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</row>
    <row r="2" spans="1:9" x14ac:dyDescent="0.25">
      <c r="A2" s="3">
        <v>2</v>
      </c>
      <c r="B2" s="4">
        <v>3</v>
      </c>
      <c r="C2" s="4"/>
      <c r="D2" s="3">
        <v>4</v>
      </c>
      <c r="E2" s="4"/>
      <c r="F2" s="4"/>
      <c r="G2" s="3">
        <v>5</v>
      </c>
      <c r="H2" s="4">
        <v>6</v>
      </c>
      <c r="I2" s="4"/>
    </row>
    <row r="3" spans="1:9" x14ac:dyDescent="0.25">
      <c r="A3" s="5"/>
      <c r="B3" s="6"/>
      <c r="C3" s="6"/>
      <c r="D3" s="7"/>
      <c r="E3" s="8"/>
      <c r="F3" s="8"/>
      <c r="G3" s="5"/>
      <c r="H3" s="8"/>
      <c r="I3" s="6"/>
    </row>
    <row r="4" spans="1:9" x14ac:dyDescent="0.25">
      <c r="A4" s="5"/>
      <c r="B4" s="6"/>
      <c r="C4" s="6"/>
      <c r="D4" s="9" t="s">
        <v>9</v>
      </c>
      <c r="E4" s="7"/>
      <c r="F4" s="8"/>
      <c r="G4" s="10"/>
      <c r="H4" s="8"/>
      <c r="I4" s="6"/>
    </row>
    <row r="5" spans="1:9" x14ac:dyDescent="0.25">
      <c r="A5" s="5"/>
      <c r="B5" s="6"/>
      <c r="C5" s="6"/>
      <c r="D5" s="11"/>
      <c r="E5" s="11"/>
      <c r="F5" s="8"/>
      <c r="G5" s="10"/>
      <c r="H5" s="8"/>
      <c r="I5" s="6"/>
    </row>
    <row r="6" spans="1:9" x14ac:dyDescent="0.25">
      <c r="A6" s="5"/>
      <c r="B6" s="6"/>
      <c r="C6" s="6"/>
      <c r="D6" s="12" t="s">
        <v>10</v>
      </c>
      <c r="E6" s="13"/>
      <c r="F6" s="8"/>
      <c r="G6" s="5"/>
      <c r="H6" s="8"/>
      <c r="I6" s="6"/>
    </row>
    <row r="7" spans="1:9" x14ac:dyDescent="0.25">
      <c r="A7" s="5">
        <v>111</v>
      </c>
      <c r="B7" s="6">
        <v>1111</v>
      </c>
      <c r="C7" s="6"/>
      <c r="D7" s="13" t="s">
        <v>11</v>
      </c>
      <c r="E7" s="13" t="str">
        <f>IF(C7="",TEXT(CONCATENATE(B7," ","-"," ",D7),1),TEXT(CONCATENATE(C7," ","-"," ",D7),1))</f>
        <v>1111 - Tiền Việt Nam</v>
      </c>
      <c r="F7" s="8" t="str">
        <f>LEFT(G7,4)</f>
        <v>D100</v>
      </c>
      <c r="G7" s="10" t="s">
        <v>12</v>
      </c>
      <c r="H7" s="8" t="s">
        <v>13</v>
      </c>
      <c r="I7" s="10">
        <f>LEFT(H7,3)*1</f>
        <v>111</v>
      </c>
    </row>
    <row r="8" spans="1:9" x14ac:dyDescent="0.25">
      <c r="A8" s="5">
        <v>111</v>
      </c>
      <c r="B8" s="6">
        <v>1112</v>
      </c>
      <c r="C8" s="6"/>
      <c r="D8" s="13" t="s">
        <v>14</v>
      </c>
      <c r="E8" s="13" t="str">
        <f t="shared" ref="E8:E9" si="0">IF(C8="",TEXT(CONCATENATE(B8," ","-"," ",D8),1),TEXT(CONCATENATE(C8," ","-"," ",D8),1))</f>
        <v>1112 - Ngoại tệ</v>
      </c>
      <c r="F8" s="8" t="str">
        <f t="shared" ref="F8:F79" si="1">LEFT(G8,4)</f>
        <v>D100</v>
      </c>
      <c r="G8" s="10" t="s">
        <v>12</v>
      </c>
      <c r="H8" s="8" t="s">
        <v>13</v>
      </c>
      <c r="I8" s="10">
        <f t="shared" ref="I8:I9" si="2">LEFT(H8,3)*1</f>
        <v>111</v>
      </c>
    </row>
    <row r="9" spans="1:9" x14ac:dyDescent="0.25">
      <c r="A9" s="5">
        <v>111</v>
      </c>
      <c r="B9" s="6">
        <v>1113</v>
      </c>
      <c r="C9" s="6"/>
      <c r="D9" s="13" t="s">
        <v>15</v>
      </c>
      <c r="E9" s="13" t="str">
        <f t="shared" si="0"/>
        <v>1113 - Vàng tiền tệ</v>
      </c>
      <c r="F9" s="8" t="str">
        <f t="shared" si="1"/>
        <v>D100</v>
      </c>
      <c r="G9" s="10" t="s">
        <v>12</v>
      </c>
      <c r="H9" s="8" t="s">
        <v>13</v>
      </c>
      <c r="I9" s="10">
        <f t="shared" si="2"/>
        <v>111</v>
      </c>
    </row>
    <row r="10" spans="1:9" x14ac:dyDescent="0.25">
      <c r="A10" s="5"/>
      <c r="B10" s="6"/>
      <c r="C10" s="6"/>
      <c r="D10" s="13"/>
      <c r="E10" s="13"/>
      <c r="F10" s="8" t="str">
        <f t="shared" si="1"/>
        <v/>
      </c>
      <c r="G10" s="10"/>
      <c r="H10" s="8"/>
      <c r="I10" s="6"/>
    </row>
    <row r="11" spans="1:9" x14ac:dyDescent="0.25">
      <c r="A11" s="5"/>
      <c r="B11" s="6"/>
      <c r="C11" s="6"/>
      <c r="D11" s="12" t="s">
        <v>16</v>
      </c>
      <c r="E11" s="13"/>
      <c r="F11" s="8" t="str">
        <f t="shared" si="1"/>
        <v/>
      </c>
      <c r="G11" s="10"/>
      <c r="H11" s="8"/>
      <c r="I11" s="6"/>
    </row>
    <row r="12" spans="1:9" x14ac:dyDescent="0.25">
      <c r="A12" s="5">
        <v>112</v>
      </c>
      <c r="B12" s="6">
        <v>1121</v>
      </c>
      <c r="C12" s="6"/>
      <c r="D12" s="13" t="s">
        <v>11</v>
      </c>
      <c r="E12" s="13" t="str">
        <f t="shared" ref="E12:E14" si="3">IF(C12="",TEXT(CONCATENATE(B12," ","-"," ",D12),1),TEXT(CONCATENATE(C12," ","-"," ",D12),1))</f>
        <v>1121 - Tiền Việt Nam</v>
      </c>
      <c r="F12" s="8" t="str">
        <f t="shared" si="1"/>
        <v>D100</v>
      </c>
      <c r="G12" s="10" t="s">
        <v>12</v>
      </c>
      <c r="H12" s="8" t="s">
        <v>13</v>
      </c>
      <c r="I12" s="10">
        <f t="shared" ref="I12:I14" si="4">LEFT(H12,3)*1</f>
        <v>111</v>
      </c>
    </row>
    <row r="13" spans="1:9" x14ac:dyDescent="0.25">
      <c r="A13" s="5">
        <v>112</v>
      </c>
      <c r="B13" s="6">
        <v>1122</v>
      </c>
      <c r="C13" s="6"/>
      <c r="D13" s="13" t="s">
        <v>14</v>
      </c>
      <c r="E13" s="13" t="str">
        <f t="shared" si="3"/>
        <v>1122 - Ngoại tệ</v>
      </c>
      <c r="F13" s="8" t="str">
        <f t="shared" si="1"/>
        <v>D100</v>
      </c>
      <c r="G13" s="10" t="s">
        <v>12</v>
      </c>
      <c r="H13" s="8" t="s">
        <v>13</v>
      </c>
      <c r="I13" s="10">
        <f t="shared" si="4"/>
        <v>111</v>
      </c>
    </row>
    <row r="14" spans="1:9" x14ac:dyDescent="0.25">
      <c r="A14" s="5">
        <v>112</v>
      </c>
      <c r="B14" s="6">
        <v>1123</v>
      </c>
      <c r="C14" s="6"/>
      <c r="D14" s="13" t="s">
        <v>15</v>
      </c>
      <c r="E14" s="13" t="str">
        <f t="shared" si="3"/>
        <v>1123 - Vàng tiền tệ</v>
      </c>
      <c r="F14" s="8" t="str">
        <f t="shared" si="1"/>
        <v>D100</v>
      </c>
      <c r="G14" s="10" t="s">
        <v>12</v>
      </c>
      <c r="H14" s="8" t="s">
        <v>13</v>
      </c>
      <c r="I14" s="10">
        <f t="shared" si="4"/>
        <v>111</v>
      </c>
    </row>
    <row r="15" spans="1:9" x14ac:dyDescent="0.25">
      <c r="A15" s="5"/>
      <c r="B15" s="6"/>
      <c r="C15" s="6"/>
      <c r="D15" s="13"/>
      <c r="E15" s="13"/>
      <c r="F15" s="8" t="str">
        <f t="shared" si="1"/>
        <v/>
      </c>
      <c r="G15" s="10"/>
      <c r="H15" s="8"/>
      <c r="I15" s="6"/>
    </row>
    <row r="16" spans="1:9" x14ac:dyDescent="0.25">
      <c r="A16" s="5"/>
      <c r="B16" s="6"/>
      <c r="C16" s="6"/>
      <c r="D16" s="12" t="s">
        <v>17</v>
      </c>
      <c r="E16" s="13"/>
      <c r="F16" s="8" t="str">
        <f t="shared" si="1"/>
        <v/>
      </c>
      <c r="G16" s="10"/>
      <c r="H16" s="8"/>
      <c r="I16" s="6"/>
    </row>
    <row r="17" spans="1:9" x14ac:dyDescent="0.25">
      <c r="A17" s="5">
        <v>113</v>
      </c>
      <c r="B17" s="6">
        <v>1131</v>
      </c>
      <c r="C17" s="6"/>
      <c r="D17" s="13" t="s">
        <v>11</v>
      </c>
      <c r="E17" s="13" t="str">
        <f t="shared" ref="E17:E18" si="5">IF(C17="",TEXT(CONCATENATE(B17," ","-"," ",D17),1),TEXT(CONCATENATE(C17," ","-"," ",D17),1))</f>
        <v>1131 - Tiền Việt Nam</v>
      </c>
      <c r="F17" s="8" t="str">
        <f t="shared" si="1"/>
        <v>D100</v>
      </c>
      <c r="G17" s="10" t="s">
        <v>12</v>
      </c>
      <c r="H17" s="8" t="s">
        <v>13</v>
      </c>
      <c r="I17" s="10">
        <f t="shared" ref="I17:I18" si="6">LEFT(H17,3)*1</f>
        <v>111</v>
      </c>
    </row>
    <row r="18" spans="1:9" x14ac:dyDescent="0.25">
      <c r="A18" s="5">
        <v>113</v>
      </c>
      <c r="B18" s="6">
        <v>1132</v>
      </c>
      <c r="C18" s="6"/>
      <c r="D18" s="13" t="s">
        <v>14</v>
      </c>
      <c r="E18" s="13" t="str">
        <f t="shared" si="5"/>
        <v>1132 - Ngoại tệ</v>
      </c>
      <c r="F18" s="8" t="str">
        <f t="shared" si="1"/>
        <v>D100</v>
      </c>
      <c r="G18" s="10" t="s">
        <v>12</v>
      </c>
      <c r="H18" s="8" t="s">
        <v>13</v>
      </c>
      <c r="I18" s="10">
        <f t="shared" si="6"/>
        <v>111</v>
      </c>
    </row>
    <row r="19" spans="1:9" x14ac:dyDescent="0.25">
      <c r="A19" s="5"/>
      <c r="B19" s="6"/>
      <c r="C19" s="6"/>
      <c r="D19" s="13"/>
      <c r="E19" s="13"/>
      <c r="F19" s="8" t="str">
        <f t="shared" si="1"/>
        <v/>
      </c>
      <c r="G19" s="10"/>
      <c r="H19" s="8"/>
      <c r="I19" s="6"/>
    </row>
    <row r="20" spans="1:9" x14ac:dyDescent="0.25">
      <c r="A20" s="5"/>
      <c r="B20" s="6"/>
      <c r="C20" s="6"/>
      <c r="D20" s="12" t="s">
        <v>18</v>
      </c>
      <c r="E20" s="13"/>
      <c r="F20" s="8" t="str">
        <f t="shared" si="1"/>
        <v/>
      </c>
      <c r="G20" s="10"/>
      <c r="H20" s="8"/>
      <c r="I20" s="6"/>
    </row>
    <row r="21" spans="1:9" x14ac:dyDescent="0.25">
      <c r="A21" s="5">
        <v>121</v>
      </c>
      <c r="B21" s="6">
        <v>1211</v>
      </c>
      <c r="C21" s="6"/>
      <c r="D21" s="13" t="s">
        <v>19</v>
      </c>
      <c r="E21" s="13" t="str">
        <f t="shared" ref="E21:E23" si="7">IF(C21="",TEXT(CONCATENATE(B21," ","-"," ",D21),1),TEXT(CONCATENATE(C21," ","-"," ",D21),1))</f>
        <v>1211 - Cổ phiếu</v>
      </c>
      <c r="F21" s="8" t="str">
        <f t="shared" si="1"/>
        <v>D200</v>
      </c>
      <c r="G21" s="10" t="s">
        <v>20</v>
      </c>
      <c r="H21" s="8" t="s">
        <v>21</v>
      </c>
      <c r="I21" s="10">
        <f t="shared" ref="I21:I23" si="8">LEFT(H21,3)*1</f>
        <v>121</v>
      </c>
    </row>
    <row r="22" spans="1:9" x14ac:dyDescent="0.25">
      <c r="A22" s="5">
        <v>121</v>
      </c>
      <c r="B22" s="6">
        <v>1212</v>
      </c>
      <c r="C22" s="6"/>
      <c r="D22" s="14" t="s">
        <v>22</v>
      </c>
      <c r="E22" s="13" t="str">
        <f t="shared" si="7"/>
        <v>1212 - Trái phiếu</v>
      </c>
      <c r="F22" s="8" t="str">
        <f t="shared" si="1"/>
        <v>D200</v>
      </c>
      <c r="G22" s="10" t="s">
        <v>20</v>
      </c>
      <c r="H22" s="8" t="s">
        <v>21</v>
      </c>
      <c r="I22" s="10">
        <f t="shared" si="8"/>
        <v>121</v>
      </c>
    </row>
    <row r="23" spans="1:9" x14ac:dyDescent="0.25">
      <c r="A23" s="5">
        <v>121</v>
      </c>
      <c r="B23" s="6">
        <v>1218</v>
      </c>
      <c r="C23" s="6"/>
      <c r="D23" s="13" t="s">
        <v>23</v>
      </c>
      <c r="E23" s="13" t="str">
        <f t="shared" si="7"/>
        <v>1218 - Chứng khoán và công cụ tài chính khác</v>
      </c>
      <c r="F23" s="8" t="str">
        <f t="shared" si="1"/>
        <v>D200</v>
      </c>
      <c r="G23" s="10" t="s">
        <v>20</v>
      </c>
      <c r="H23" s="8" t="s">
        <v>21</v>
      </c>
      <c r="I23" s="10">
        <f t="shared" si="8"/>
        <v>121</v>
      </c>
    </row>
    <row r="24" spans="1:9" x14ac:dyDescent="0.25">
      <c r="A24" s="5"/>
      <c r="B24" s="6"/>
      <c r="C24" s="6"/>
      <c r="D24" s="13"/>
      <c r="E24" s="13"/>
      <c r="F24" s="8" t="str">
        <f t="shared" si="1"/>
        <v/>
      </c>
      <c r="G24" s="10"/>
      <c r="H24" s="8"/>
      <c r="I24" s="6"/>
    </row>
    <row r="25" spans="1:9" x14ac:dyDescent="0.25">
      <c r="A25" s="5"/>
      <c r="B25" s="6"/>
      <c r="C25" s="6"/>
      <c r="D25" s="12" t="s">
        <v>24</v>
      </c>
      <c r="E25" s="13"/>
      <c r="F25" s="8" t="str">
        <f t="shared" si="1"/>
        <v/>
      </c>
      <c r="G25" s="10"/>
      <c r="H25" s="8"/>
      <c r="I25" s="6"/>
    </row>
    <row r="26" spans="1:9" x14ac:dyDescent="0.25">
      <c r="A26" s="5">
        <v>128</v>
      </c>
      <c r="B26" s="6">
        <v>1281</v>
      </c>
      <c r="C26" s="6">
        <v>12811</v>
      </c>
      <c r="D26" s="13" t="s">
        <v>25</v>
      </c>
      <c r="E26" s="13" t="str">
        <f t="shared" ref="E26:E34" si="9">IF(C26="",TEXT(CONCATENATE(B26," ","-"," ",D26),1),TEXT(CONCATENATE(C26," ","-"," ",D26),1))</f>
        <v>12811 - Tiền gửi có kỳ hạn (=&lt; 3 tháng)</v>
      </c>
      <c r="F26" s="8" t="str">
        <f t="shared" si="1"/>
        <v>D100</v>
      </c>
      <c r="G26" s="10" t="s">
        <v>12</v>
      </c>
      <c r="H26" s="8" t="s">
        <v>26</v>
      </c>
      <c r="I26" s="10">
        <f t="shared" ref="I26:I34" si="10">LEFT(H26,3)*1</f>
        <v>112</v>
      </c>
    </row>
    <row r="27" spans="1:9" x14ac:dyDescent="0.25">
      <c r="A27" s="5">
        <v>128</v>
      </c>
      <c r="B27" s="6">
        <v>1281</v>
      </c>
      <c r="C27" s="6">
        <v>12812</v>
      </c>
      <c r="D27" s="13" t="s">
        <v>27</v>
      </c>
      <c r="E27" s="13" t="str">
        <f t="shared" si="9"/>
        <v>12812 - Tiền gửi có kỳ hạn (3 tháng &lt; X =&lt;12 tháng)</v>
      </c>
      <c r="F27" s="8" t="str">
        <f t="shared" si="1"/>
        <v>D200</v>
      </c>
      <c r="G27" s="10" t="s">
        <v>20</v>
      </c>
      <c r="H27" s="8" t="s">
        <v>28</v>
      </c>
      <c r="I27" s="10">
        <f t="shared" si="10"/>
        <v>123</v>
      </c>
    </row>
    <row r="28" spans="1:9" x14ac:dyDescent="0.25">
      <c r="A28" s="5">
        <v>128</v>
      </c>
      <c r="B28" s="6">
        <v>1281</v>
      </c>
      <c r="C28" s="6">
        <v>12813</v>
      </c>
      <c r="D28" s="13" t="s">
        <v>29</v>
      </c>
      <c r="E28" s="13" t="str">
        <f t="shared" si="9"/>
        <v>12813 - Tiền gửi có kỳ hạn (&gt; 12 tháng)</v>
      </c>
      <c r="F28" s="8" t="str">
        <f t="shared" si="1"/>
        <v>D700</v>
      </c>
      <c r="G28" s="10" t="s">
        <v>30</v>
      </c>
      <c r="H28" s="8" t="s">
        <v>31</v>
      </c>
      <c r="I28" s="10">
        <f t="shared" si="10"/>
        <v>255</v>
      </c>
    </row>
    <row r="29" spans="1:9" x14ac:dyDescent="0.25">
      <c r="A29" s="5">
        <v>128</v>
      </c>
      <c r="B29" s="6">
        <v>1282</v>
      </c>
      <c r="C29" s="6"/>
      <c r="D29" s="13" t="s">
        <v>22</v>
      </c>
      <c r="E29" s="13" t="str">
        <f t="shared" si="9"/>
        <v>1282 - Trái phiếu</v>
      </c>
      <c r="F29" s="8" t="str">
        <f t="shared" si="1"/>
        <v>D200</v>
      </c>
      <c r="G29" s="10" t="s">
        <v>20</v>
      </c>
      <c r="H29" s="8" t="s">
        <v>28</v>
      </c>
      <c r="I29" s="10">
        <f t="shared" si="10"/>
        <v>123</v>
      </c>
    </row>
    <row r="30" spans="1:9" x14ac:dyDescent="0.25">
      <c r="A30" s="5">
        <v>128</v>
      </c>
      <c r="B30" s="6">
        <v>1283</v>
      </c>
      <c r="C30" s="6">
        <v>1283</v>
      </c>
      <c r="D30" s="13" t="s">
        <v>32</v>
      </c>
      <c r="E30" s="13" t="str">
        <f t="shared" si="9"/>
        <v>1283 - Cho vay</v>
      </c>
      <c r="F30" s="8" t="str">
        <f t="shared" si="1"/>
        <v>D200</v>
      </c>
      <c r="G30" s="10" t="s">
        <v>20</v>
      </c>
      <c r="H30" s="8" t="s">
        <v>33</v>
      </c>
      <c r="I30" s="10">
        <f t="shared" si="10"/>
        <v>135</v>
      </c>
    </row>
    <row r="31" spans="1:9" x14ac:dyDescent="0.25">
      <c r="A31" s="5">
        <v>128</v>
      </c>
      <c r="B31" s="6">
        <v>1283</v>
      </c>
      <c r="C31" s="6" t="s">
        <v>34</v>
      </c>
      <c r="D31" s="13" t="s">
        <v>35</v>
      </c>
      <c r="E31" s="13" t="str">
        <f t="shared" si="9"/>
        <v>1283a - Cho vay - dài hạn</v>
      </c>
      <c r="F31" s="8" t="str">
        <f t="shared" si="1"/>
        <v>D700</v>
      </c>
      <c r="G31" s="10" t="s">
        <v>30</v>
      </c>
      <c r="H31" s="8" t="s">
        <v>36</v>
      </c>
      <c r="I31" s="10">
        <f t="shared" si="10"/>
        <v>215</v>
      </c>
    </row>
    <row r="32" spans="1:9" x14ac:dyDescent="0.25">
      <c r="A32" s="5">
        <v>128</v>
      </c>
      <c r="B32" s="6">
        <v>1288</v>
      </c>
      <c r="C32" s="6">
        <v>1288</v>
      </c>
      <c r="D32" s="13" t="s">
        <v>37</v>
      </c>
      <c r="E32" s="13" t="str">
        <f t="shared" si="9"/>
        <v>1288 - Các khoản đầu tư khác nắm giữ đến ngày đáo hạn</v>
      </c>
      <c r="F32" s="8" t="str">
        <f t="shared" si="1"/>
        <v>D200</v>
      </c>
      <c r="G32" s="10" t="s">
        <v>20</v>
      </c>
      <c r="H32" s="8" t="s">
        <v>28</v>
      </c>
      <c r="I32" s="10">
        <f t="shared" si="10"/>
        <v>123</v>
      </c>
    </row>
    <row r="33" spans="1:9" x14ac:dyDescent="0.25">
      <c r="A33" s="5">
        <v>128</v>
      </c>
      <c r="B33" s="6">
        <v>1288</v>
      </c>
      <c r="C33" s="6" t="s">
        <v>38</v>
      </c>
      <c r="D33" s="13" t="s">
        <v>39</v>
      </c>
      <c r="E33" s="13" t="str">
        <f t="shared" si="9"/>
        <v>1288a - Dài hạn - Các khoản đầu tư khác nắm giữ đến ngày đáo hạn</v>
      </c>
      <c r="F33" s="8" t="str">
        <f t="shared" si="1"/>
        <v>D700</v>
      </c>
      <c r="G33" s="10" t="s">
        <v>30</v>
      </c>
      <c r="H33" s="8" t="s">
        <v>31</v>
      </c>
      <c r="I33" s="10">
        <f t="shared" si="10"/>
        <v>255</v>
      </c>
    </row>
    <row r="34" spans="1:9" x14ac:dyDescent="0.25">
      <c r="A34" s="5">
        <v>128</v>
      </c>
      <c r="B34" s="6">
        <v>1288</v>
      </c>
      <c r="C34" s="6" t="s">
        <v>40</v>
      </c>
      <c r="D34" s="13" t="s">
        <v>37</v>
      </c>
      <c r="E34" s="13" t="str">
        <f t="shared" si="9"/>
        <v>1288 (&lt;3 tháng) - Các khoản đầu tư khác nắm giữ đến ngày đáo hạn</v>
      </c>
      <c r="F34" s="8" t="str">
        <f t="shared" si="1"/>
        <v>D100</v>
      </c>
      <c r="G34" s="10" t="s">
        <v>12</v>
      </c>
      <c r="H34" s="8" t="s">
        <v>26</v>
      </c>
      <c r="I34" s="10">
        <f t="shared" si="10"/>
        <v>112</v>
      </c>
    </row>
    <row r="35" spans="1:9" x14ac:dyDescent="0.25">
      <c r="A35" s="5"/>
      <c r="B35" s="6"/>
      <c r="C35" s="6"/>
      <c r="D35" s="13"/>
      <c r="E35" s="13"/>
      <c r="F35" s="8" t="str">
        <f t="shared" si="1"/>
        <v/>
      </c>
      <c r="G35" s="10"/>
      <c r="H35" s="8"/>
      <c r="I35" s="6"/>
    </row>
    <row r="36" spans="1:9" x14ac:dyDescent="0.25">
      <c r="A36" s="5"/>
      <c r="B36" s="6"/>
      <c r="C36" s="6"/>
      <c r="D36" s="12" t="s">
        <v>41</v>
      </c>
      <c r="E36" s="13"/>
      <c r="F36" s="8" t="str">
        <f t="shared" si="1"/>
        <v/>
      </c>
      <c r="G36" s="10"/>
      <c r="H36" s="8"/>
      <c r="I36" s="6"/>
    </row>
    <row r="37" spans="1:9" x14ac:dyDescent="0.25">
      <c r="A37" s="5">
        <v>131</v>
      </c>
      <c r="B37" s="6">
        <v>1311</v>
      </c>
      <c r="C37" s="6">
        <v>1311</v>
      </c>
      <c r="D37" s="13" t="s">
        <v>42</v>
      </c>
      <c r="E37" s="13" t="str">
        <f t="shared" ref="E37:E40" si="11">IF(C37="",TEXT(CONCATENATE(B37," ","-"," ",D37),1),TEXT(CONCATENATE(C37," ","-"," ",D37),1))</f>
        <v>1311 - Phải thu của khách hàng (ngắn hạn)</v>
      </c>
      <c r="F37" s="8" t="str">
        <f t="shared" si="1"/>
        <v>D300</v>
      </c>
      <c r="G37" s="10" t="s">
        <v>43</v>
      </c>
      <c r="H37" s="8" t="s">
        <v>44</v>
      </c>
      <c r="I37" s="10">
        <f t="shared" ref="I37:I40" si="12">LEFT(H37,3)*1</f>
        <v>131</v>
      </c>
    </row>
    <row r="38" spans="1:9" x14ac:dyDescent="0.25">
      <c r="A38" s="5">
        <v>131</v>
      </c>
      <c r="B38" s="6">
        <v>1311</v>
      </c>
      <c r="C38" s="6" t="s">
        <v>45</v>
      </c>
      <c r="D38" s="13" t="s">
        <v>46</v>
      </c>
      <c r="E38" s="13" t="str">
        <f t="shared" si="11"/>
        <v>1311x - Người mua trả tiền trước (ngắn hạn)</v>
      </c>
      <c r="F38" s="8" t="str">
        <f t="shared" si="1"/>
        <v>D300</v>
      </c>
      <c r="G38" s="10" t="s">
        <v>43</v>
      </c>
      <c r="H38" s="8" t="s">
        <v>47</v>
      </c>
      <c r="I38" s="10">
        <f t="shared" si="12"/>
        <v>312</v>
      </c>
    </row>
    <row r="39" spans="1:9" x14ac:dyDescent="0.25">
      <c r="A39" s="5">
        <v>131</v>
      </c>
      <c r="B39" s="6">
        <v>1312</v>
      </c>
      <c r="C39" s="6">
        <v>1312</v>
      </c>
      <c r="D39" s="13" t="s">
        <v>48</v>
      </c>
      <c r="E39" s="13" t="str">
        <f t="shared" si="11"/>
        <v>1312 - Phải thu của khách hàng (dài hạn)</v>
      </c>
      <c r="F39" s="8" t="str">
        <f t="shared" si="1"/>
        <v>D300</v>
      </c>
      <c r="G39" s="10" t="s">
        <v>43</v>
      </c>
      <c r="H39" s="8" t="s">
        <v>49</v>
      </c>
      <c r="I39" s="10">
        <f t="shared" si="12"/>
        <v>211</v>
      </c>
    </row>
    <row r="40" spans="1:9" x14ac:dyDescent="0.25">
      <c r="A40" s="5">
        <v>131</v>
      </c>
      <c r="B40" s="6">
        <v>1312</v>
      </c>
      <c r="C40" s="6" t="s">
        <v>50</v>
      </c>
      <c r="D40" s="13" t="s">
        <v>51</v>
      </c>
      <c r="E40" s="13" t="str">
        <f t="shared" si="11"/>
        <v>1312x - Người mua trả tiền trước (dài hạn)</v>
      </c>
      <c r="F40" s="8" t="str">
        <f t="shared" si="1"/>
        <v>D300</v>
      </c>
      <c r="G40" s="10" t="s">
        <v>43</v>
      </c>
      <c r="H40" s="8" t="s">
        <v>52</v>
      </c>
      <c r="I40" s="10">
        <f t="shared" si="12"/>
        <v>332</v>
      </c>
    </row>
    <row r="41" spans="1:9" x14ac:dyDescent="0.25">
      <c r="A41" s="5"/>
      <c r="B41" s="6"/>
      <c r="C41" s="6"/>
      <c r="D41" s="13"/>
      <c r="E41" s="13"/>
      <c r="F41" s="8" t="str">
        <f t="shared" si="1"/>
        <v/>
      </c>
      <c r="G41" s="10"/>
      <c r="H41" s="8"/>
      <c r="I41" s="6"/>
    </row>
    <row r="42" spans="1:9" x14ac:dyDescent="0.25">
      <c r="A42" s="5"/>
      <c r="B42" s="6"/>
      <c r="C42" s="6"/>
      <c r="D42" s="12" t="s">
        <v>53</v>
      </c>
      <c r="E42" s="13"/>
      <c r="F42" s="8" t="str">
        <f t="shared" si="1"/>
        <v/>
      </c>
      <c r="G42" s="10"/>
      <c r="H42" s="8"/>
      <c r="I42" s="6"/>
    </row>
    <row r="43" spans="1:9" x14ac:dyDescent="0.25">
      <c r="A43" s="5">
        <v>133</v>
      </c>
      <c r="B43" s="6">
        <v>1331</v>
      </c>
      <c r="C43" s="6"/>
      <c r="D43" s="15" t="s">
        <v>54</v>
      </c>
      <c r="E43" s="13" t="str">
        <f t="shared" ref="E43:E44" si="13">IF(C43="",TEXT(CONCATENATE(B43," ","-"," ",D43),1),TEXT(CONCATENATE(C43," ","-"," ",D43),1))</f>
        <v>1331 - Thuế GTGT được khấu trừ của hàng hóa, dịch vụ</v>
      </c>
      <c r="F43" s="8" t="str">
        <f t="shared" si="1"/>
        <v>E300</v>
      </c>
      <c r="G43" s="10" t="s">
        <v>55</v>
      </c>
      <c r="H43" s="8" t="s">
        <v>56</v>
      </c>
      <c r="I43" s="10">
        <f t="shared" ref="I43:I44" si="14">LEFT(H43,3)*1</f>
        <v>152</v>
      </c>
    </row>
    <row r="44" spans="1:9" x14ac:dyDescent="0.25">
      <c r="A44" s="5">
        <v>133</v>
      </c>
      <c r="B44" s="6">
        <v>1332</v>
      </c>
      <c r="C44" s="6"/>
      <c r="D44" s="13" t="s">
        <v>57</v>
      </c>
      <c r="E44" s="13" t="str">
        <f t="shared" si="13"/>
        <v>1332 - Thuế GTGT được khấu trừ của TSCĐ</v>
      </c>
      <c r="F44" s="8" t="str">
        <f t="shared" si="1"/>
        <v>E300</v>
      </c>
      <c r="G44" s="10" t="s">
        <v>55</v>
      </c>
      <c r="H44" s="8" t="s">
        <v>56</v>
      </c>
      <c r="I44" s="10">
        <f t="shared" si="14"/>
        <v>152</v>
      </c>
    </row>
    <row r="45" spans="1:9" x14ac:dyDescent="0.25">
      <c r="A45" s="5"/>
      <c r="B45" s="6"/>
      <c r="C45" s="6"/>
      <c r="D45" s="13"/>
      <c r="E45" s="13"/>
      <c r="F45" s="8" t="str">
        <f t="shared" si="1"/>
        <v/>
      </c>
      <c r="G45" s="10"/>
      <c r="H45" s="8"/>
      <c r="I45" s="6"/>
    </row>
    <row r="46" spans="1:9" x14ac:dyDescent="0.25">
      <c r="A46" s="5"/>
      <c r="B46" s="6"/>
      <c r="C46" s="6"/>
      <c r="D46" s="12" t="s">
        <v>58</v>
      </c>
      <c r="E46" s="13"/>
      <c r="F46" s="8" t="str">
        <f t="shared" si="1"/>
        <v/>
      </c>
      <c r="G46" s="10"/>
      <c r="H46" s="8"/>
      <c r="I46" s="6"/>
    </row>
    <row r="47" spans="1:9" x14ac:dyDescent="0.25">
      <c r="A47" s="5">
        <v>136</v>
      </c>
      <c r="B47" s="6">
        <v>1361</v>
      </c>
      <c r="C47" s="6"/>
      <c r="D47" s="13" t="s">
        <v>59</v>
      </c>
      <c r="E47" s="13" t="str">
        <f t="shared" ref="E47:E51" si="15">IF(C47="",TEXT(CONCATENATE(B47," ","-"," ",D47),1),TEXT(CONCATENATE(C47," ","-"," ",D47),1))</f>
        <v>1361 - Vốn kinh doanh ở các đơn vị trực thuộc</v>
      </c>
      <c r="F47" s="8" t="str">
        <f t="shared" si="1"/>
        <v>D300</v>
      </c>
      <c r="G47" s="10" t="s">
        <v>43</v>
      </c>
      <c r="H47" s="8" t="s">
        <v>60</v>
      </c>
      <c r="I47" s="10">
        <f t="shared" ref="I47:I51" si="16">LEFT(H47,3)*1</f>
        <v>213</v>
      </c>
    </row>
    <row r="48" spans="1:9" x14ac:dyDescent="0.25">
      <c r="A48" s="5">
        <v>136</v>
      </c>
      <c r="B48" s="6">
        <v>1362</v>
      </c>
      <c r="C48" s="6"/>
      <c r="D48" s="13" t="s">
        <v>61</v>
      </c>
      <c r="E48" s="13" t="str">
        <f t="shared" si="15"/>
        <v>1362 - Phải thu nội bộ về chênh lệch tỷ giá</v>
      </c>
      <c r="F48" s="8" t="str">
        <f t="shared" si="1"/>
        <v>D300</v>
      </c>
      <c r="G48" s="10" t="s">
        <v>43</v>
      </c>
      <c r="H48" s="8" t="s">
        <v>62</v>
      </c>
      <c r="I48" s="10">
        <f t="shared" si="16"/>
        <v>133</v>
      </c>
    </row>
    <row r="49" spans="1:9" x14ac:dyDescent="0.25">
      <c r="A49" s="5">
        <v>136</v>
      </c>
      <c r="B49" s="6">
        <v>1363</v>
      </c>
      <c r="C49" s="6"/>
      <c r="D49" s="13" t="s">
        <v>63</v>
      </c>
      <c r="E49" s="13" t="str">
        <f t="shared" si="15"/>
        <v>1363 - Phải thu nội bộ về chi phí đi vay đủ điều kiện được vốn hoá</v>
      </c>
      <c r="F49" s="8" t="str">
        <f t="shared" si="1"/>
        <v>D300</v>
      </c>
      <c r="G49" s="10" t="s">
        <v>43</v>
      </c>
      <c r="H49" s="8" t="s">
        <v>62</v>
      </c>
      <c r="I49" s="10">
        <f t="shared" si="16"/>
        <v>133</v>
      </c>
    </row>
    <row r="50" spans="1:9" x14ac:dyDescent="0.25">
      <c r="A50" s="5">
        <v>136</v>
      </c>
      <c r="B50" s="6">
        <v>1368</v>
      </c>
      <c r="C50" s="6"/>
      <c r="D50" s="13" t="s">
        <v>64</v>
      </c>
      <c r="E50" s="13" t="str">
        <f t="shared" si="15"/>
        <v>1368 - Phải thu nội bộ khác</v>
      </c>
      <c r="F50" s="8" t="str">
        <f t="shared" si="1"/>
        <v>D300</v>
      </c>
      <c r="G50" s="10" t="s">
        <v>43</v>
      </c>
      <c r="H50" s="8" t="s">
        <v>62</v>
      </c>
      <c r="I50" s="10">
        <f t="shared" si="16"/>
        <v>133</v>
      </c>
    </row>
    <row r="51" spans="1:9" x14ac:dyDescent="0.25">
      <c r="A51" s="5">
        <v>136</v>
      </c>
      <c r="B51" s="6" t="s">
        <v>65</v>
      </c>
      <c r="C51" s="6"/>
      <c r="D51" s="13" t="s">
        <v>66</v>
      </c>
      <c r="E51" s="13" t="str">
        <f t="shared" si="15"/>
        <v>136a - Phải thu nội bộ (dài hạn)</v>
      </c>
      <c r="F51" s="8" t="str">
        <f t="shared" si="1"/>
        <v>D300</v>
      </c>
      <c r="G51" s="10" t="s">
        <v>43</v>
      </c>
      <c r="H51" s="8" t="s">
        <v>67</v>
      </c>
      <c r="I51" s="10">
        <f t="shared" si="16"/>
        <v>214</v>
      </c>
    </row>
    <row r="52" spans="1:9" x14ac:dyDescent="0.25">
      <c r="A52" s="5"/>
      <c r="B52" s="6"/>
      <c r="C52" s="6"/>
      <c r="D52" s="13"/>
      <c r="E52" s="13"/>
      <c r="F52" s="8" t="str">
        <f t="shared" si="1"/>
        <v/>
      </c>
      <c r="G52" s="10"/>
      <c r="H52" s="8"/>
      <c r="I52" s="6"/>
    </row>
    <row r="53" spans="1:9" x14ac:dyDescent="0.25">
      <c r="A53" s="5"/>
      <c r="B53" s="6"/>
      <c r="C53" s="6"/>
      <c r="D53" s="12" t="s">
        <v>68</v>
      </c>
      <c r="E53" s="13"/>
      <c r="F53" s="8" t="str">
        <f t="shared" si="1"/>
        <v/>
      </c>
      <c r="G53" s="10"/>
      <c r="H53" s="8"/>
      <c r="I53" s="6"/>
    </row>
    <row r="54" spans="1:9" x14ac:dyDescent="0.25">
      <c r="A54" s="5">
        <v>138</v>
      </c>
      <c r="B54" s="6">
        <v>1381</v>
      </c>
      <c r="C54" s="6"/>
      <c r="D54" s="13" t="s">
        <v>69</v>
      </c>
      <c r="E54" s="13" t="str">
        <f t="shared" ref="E54:E59" si="17">IF(C54="",TEXT(CONCATENATE(B54," ","-"," ",D54),1),TEXT(CONCATENATE(C54," ","-"," ",D54),1))</f>
        <v>1381 - Tài sản thiếu chờ xử lý</v>
      </c>
      <c r="F54" s="8" t="str">
        <f t="shared" si="1"/>
        <v>D800</v>
      </c>
      <c r="G54" s="10" t="s">
        <v>70</v>
      </c>
      <c r="H54" s="8" t="s">
        <v>71</v>
      </c>
      <c r="I54" s="10">
        <f t="shared" ref="I54:I59" si="18">LEFT(H54,3)*1</f>
        <v>139</v>
      </c>
    </row>
    <row r="55" spans="1:9" x14ac:dyDescent="0.25">
      <c r="A55" s="5">
        <v>138</v>
      </c>
      <c r="B55" s="6">
        <v>1385</v>
      </c>
      <c r="C55" s="6"/>
      <c r="D55" s="13" t="s">
        <v>72</v>
      </c>
      <c r="E55" s="13" t="str">
        <f t="shared" si="17"/>
        <v>1385 - Phải thu về cổ phần hoá</v>
      </c>
      <c r="F55" s="8" t="str">
        <f t="shared" si="1"/>
        <v>D800</v>
      </c>
      <c r="G55" s="10" t="s">
        <v>70</v>
      </c>
      <c r="H55" s="8" t="s">
        <v>73</v>
      </c>
      <c r="I55" s="10">
        <f t="shared" si="18"/>
        <v>136</v>
      </c>
    </row>
    <row r="56" spans="1:9" x14ac:dyDescent="0.25">
      <c r="A56" s="5">
        <v>138</v>
      </c>
      <c r="B56" s="6">
        <v>1388</v>
      </c>
      <c r="C56" s="6"/>
      <c r="D56" s="13" t="s">
        <v>68</v>
      </c>
      <c r="E56" s="13" t="str">
        <f t="shared" si="17"/>
        <v>1388 - Phải thu khác</v>
      </c>
      <c r="F56" s="8" t="str">
        <f t="shared" si="1"/>
        <v>D800</v>
      </c>
      <c r="G56" s="10" t="s">
        <v>70</v>
      </c>
      <c r="H56" s="8" t="s">
        <v>73</v>
      </c>
      <c r="I56" s="10">
        <f t="shared" si="18"/>
        <v>136</v>
      </c>
    </row>
    <row r="57" spans="1:9" x14ac:dyDescent="0.25">
      <c r="A57" s="5">
        <v>138</v>
      </c>
      <c r="B57" s="6" t="s">
        <v>74</v>
      </c>
      <c r="C57" s="6"/>
      <c r="D57" s="13" t="s">
        <v>75</v>
      </c>
      <c r="E57" s="13" t="str">
        <f t="shared" si="17"/>
        <v>138x - Dư có TK 138 (ngắn hạn)</v>
      </c>
      <c r="F57" s="8" t="str">
        <f t="shared" si="1"/>
        <v>D800</v>
      </c>
      <c r="G57" s="10" t="s">
        <v>70</v>
      </c>
      <c r="H57" s="8" t="s">
        <v>76</v>
      </c>
      <c r="I57" s="10">
        <f t="shared" si="18"/>
        <v>319</v>
      </c>
    </row>
    <row r="58" spans="1:9" x14ac:dyDescent="0.25">
      <c r="A58" s="5">
        <v>138</v>
      </c>
      <c r="B58" s="6" t="s">
        <v>77</v>
      </c>
      <c r="C58" s="6" t="s">
        <v>77</v>
      </c>
      <c r="D58" s="13" t="s">
        <v>78</v>
      </c>
      <c r="E58" s="13" t="str">
        <f t="shared" si="17"/>
        <v>138a - Phải thu khác - dài hạn</v>
      </c>
      <c r="F58" s="8" t="str">
        <f t="shared" si="1"/>
        <v>D800</v>
      </c>
      <c r="G58" s="10" t="s">
        <v>70</v>
      </c>
      <c r="H58" s="8" t="s">
        <v>79</v>
      </c>
      <c r="I58" s="10">
        <f t="shared" si="18"/>
        <v>216</v>
      </c>
    </row>
    <row r="59" spans="1:9" x14ac:dyDescent="0.25">
      <c r="A59" s="5">
        <v>138</v>
      </c>
      <c r="B59" s="6" t="s">
        <v>77</v>
      </c>
      <c r="C59" s="6" t="s">
        <v>80</v>
      </c>
      <c r="D59" s="13" t="s">
        <v>81</v>
      </c>
      <c r="E59" s="13" t="str">
        <f t="shared" si="17"/>
        <v>138ax - Dư có TK 138 (dài hạn)</v>
      </c>
      <c r="F59" s="8" t="str">
        <f t="shared" si="1"/>
        <v>D800</v>
      </c>
      <c r="G59" s="10" t="s">
        <v>70</v>
      </c>
      <c r="H59" s="8" t="s">
        <v>82</v>
      </c>
      <c r="I59" s="10">
        <f t="shared" si="18"/>
        <v>337</v>
      </c>
    </row>
    <row r="60" spans="1:9" x14ac:dyDescent="0.25">
      <c r="A60" s="5"/>
      <c r="B60" s="6"/>
      <c r="C60" s="6"/>
      <c r="D60" s="13"/>
      <c r="E60" s="13"/>
      <c r="F60" s="8" t="str">
        <f t="shared" si="1"/>
        <v/>
      </c>
      <c r="G60" s="10"/>
      <c r="H60" s="8"/>
      <c r="I60" s="6"/>
    </row>
    <row r="61" spans="1:9" x14ac:dyDescent="0.25">
      <c r="A61" s="5">
        <v>141</v>
      </c>
      <c r="B61" s="6">
        <v>141</v>
      </c>
      <c r="C61" s="6"/>
      <c r="D61" s="13" t="s">
        <v>83</v>
      </c>
      <c r="E61" s="13" t="str">
        <f t="shared" ref="E61:E62" si="19">IF(C61="",TEXT(CONCATENATE(B61," ","-"," ",D61),1),TEXT(CONCATENATE(C61," ","-"," ",D61),1))</f>
        <v>141 - Tạm ứng</v>
      </c>
      <c r="F61" s="8" t="str">
        <f t="shared" si="1"/>
        <v>D800</v>
      </c>
      <c r="G61" s="10" t="s">
        <v>70</v>
      </c>
      <c r="H61" s="8" t="s">
        <v>73</v>
      </c>
      <c r="I61" s="10">
        <f t="shared" ref="I61:I62" si="20">LEFT(H61,3)*1</f>
        <v>136</v>
      </c>
    </row>
    <row r="62" spans="1:9" x14ac:dyDescent="0.25">
      <c r="A62" s="5">
        <v>141</v>
      </c>
      <c r="B62" s="6">
        <v>1412</v>
      </c>
      <c r="C62" s="6"/>
      <c r="D62" s="13" t="s">
        <v>84</v>
      </c>
      <c r="E62" s="13" t="str">
        <f t="shared" si="19"/>
        <v>1412 - Tạm ứng - dài hạn</v>
      </c>
      <c r="F62" s="8" t="str">
        <f t="shared" si="1"/>
        <v>D800</v>
      </c>
      <c r="G62" s="10" t="s">
        <v>70</v>
      </c>
      <c r="H62" s="8" t="s">
        <v>79</v>
      </c>
      <c r="I62" s="10">
        <f t="shared" si="20"/>
        <v>216</v>
      </c>
    </row>
    <row r="63" spans="1:9" x14ac:dyDescent="0.25">
      <c r="A63" s="5"/>
      <c r="B63" s="6"/>
      <c r="C63" s="6"/>
      <c r="D63" s="13"/>
      <c r="E63" s="13"/>
      <c r="F63" s="8" t="str">
        <f t="shared" si="1"/>
        <v/>
      </c>
      <c r="G63" s="10"/>
      <c r="H63" s="8"/>
      <c r="I63" s="6"/>
    </row>
    <row r="64" spans="1:9" x14ac:dyDescent="0.25">
      <c r="A64" s="5">
        <v>151</v>
      </c>
      <c r="B64" s="6">
        <f t="shared" ref="B64:B65" si="21">A64</f>
        <v>151</v>
      </c>
      <c r="C64" s="6"/>
      <c r="D64" s="13" t="s">
        <v>85</v>
      </c>
      <c r="E64" s="13" t="str">
        <f t="shared" ref="E64:E73" si="22">IF(C64="",TEXT(CONCATENATE(B64," ","-"," ",D64),1),TEXT(CONCATENATE(C64," ","-"," ",D64),1))</f>
        <v xml:space="preserve">151 - Hàng mua đang đi đường </v>
      </c>
      <c r="F64" s="8" t="str">
        <f t="shared" si="1"/>
        <v>D400</v>
      </c>
      <c r="G64" s="10" t="s">
        <v>86</v>
      </c>
      <c r="H64" s="8" t="s">
        <v>87</v>
      </c>
      <c r="I64" s="10">
        <f t="shared" ref="I64:I73" si="23">LEFT(H64,3)*1</f>
        <v>141</v>
      </c>
    </row>
    <row r="65" spans="1:9" x14ac:dyDescent="0.25">
      <c r="A65" s="5">
        <v>152</v>
      </c>
      <c r="B65" s="6">
        <f t="shared" si="21"/>
        <v>152</v>
      </c>
      <c r="C65" s="6"/>
      <c r="D65" s="13" t="s">
        <v>88</v>
      </c>
      <c r="E65" s="13" t="str">
        <f t="shared" si="22"/>
        <v>152 - Nguyên liệu, vật liệu</v>
      </c>
      <c r="F65" s="8" t="str">
        <f t="shared" si="1"/>
        <v>D400</v>
      </c>
      <c r="G65" s="10" t="s">
        <v>86</v>
      </c>
      <c r="H65" s="8" t="s">
        <v>87</v>
      </c>
      <c r="I65" s="10">
        <f t="shared" si="23"/>
        <v>141</v>
      </c>
    </row>
    <row r="66" spans="1:9" x14ac:dyDescent="0.25">
      <c r="A66" s="5">
        <v>153</v>
      </c>
      <c r="B66" s="6">
        <v>153</v>
      </c>
      <c r="C66" s="6"/>
      <c r="D66" s="12" t="s">
        <v>89</v>
      </c>
      <c r="E66" s="13" t="str">
        <f t="shared" si="22"/>
        <v>153 - Công cụ, dụng cụ</v>
      </c>
      <c r="F66" s="8" t="str">
        <f t="shared" si="1"/>
        <v>D400</v>
      </c>
      <c r="G66" s="10" t="s">
        <v>86</v>
      </c>
      <c r="H66" s="8" t="s">
        <v>87</v>
      </c>
      <c r="I66" s="10">
        <f t="shared" si="23"/>
        <v>141</v>
      </c>
    </row>
    <row r="67" spans="1:9" x14ac:dyDescent="0.25">
      <c r="A67" s="5">
        <v>153</v>
      </c>
      <c r="B67" s="6">
        <v>1531</v>
      </c>
      <c r="C67" s="6"/>
      <c r="D67" s="13" t="s">
        <v>90</v>
      </c>
      <c r="E67" s="13" t="str">
        <f t="shared" si="22"/>
        <v>1531 - Công cụ, dụng cụ</v>
      </c>
      <c r="F67" s="8" t="str">
        <f t="shared" si="1"/>
        <v>D400</v>
      </c>
      <c r="G67" s="10" t="s">
        <v>86</v>
      </c>
      <c r="H67" s="8" t="s">
        <v>87</v>
      </c>
      <c r="I67" s="10">
        <f t="shared" si="23"/>
        <v>141</v>
      </c>
    </row>
    <row r="68" spans="1:9" x14ac:dyDescent="0.25">
      <c r="A68" s="5">
        <v>153</v>
      </c>
      <c r="B68" s="6">
        <v>1532</v>
      </c>
      <c r="C68" s="6"/>
      <c r="D68" s="13" t="s">
        <v>91</v>
      </c>
      <c r="E68" s="13" t="str">
        <f t="shared" si="22"/>
        <v>1532 - Bao bì luân chuyển</v>
      </c>
      <c r="F68" s="8" t="str">
        <f t="shared" si="1"/>
        <v>D400</v>
      </c>
      <c r="G68" s="10" t="s">
        <v>86</v>
      </c>
      <c r="H68" s="8" t="s">
        <v>87</v>
      </c>
      <c r="I68" s="10">
        <f t="shared" si="23"/>
        <v>141</v>
      </c>
    </row>
    <row r="69" spans="1:9" x14ac:dyDescent="0.25">
      <c r="A69" s="5">
        <v>153</v>
      </c>
      <c r="B69" s="6">
        <v>1533</v>
      </c>
      <c r="C69" s="6"/>
      <c r="D69" s="13" t="s">
        <v>92</v>
      </c>
      <c r="E69" s="13" t="str">
        <f t="shared" si="22"/>
        <v>1533 - Đồ dùng cho thuê</v>
      </c>
      <c r="F69" s="8" t="str">
        <f t="shared" si="1"/>
        <v>D400</v>
      </c>
      <c r="G69" s="10" t="s">
        <v>86</v>
      </c>
      <c r="H69" s="8" t="s">
        <v>87</v>
      </c>
      <c r="I69" s="10">
        <f t="shared" si="23"/>
        <v>141</v>
      </c>
    </row>
    <row r="70" spans="1:9" x14ac:dyDescent="0.25">
      <c r="A70" s="5">
        <v>153</v>
      </c>
      <c r="B70" s="6">
        <v>1534</v>
      </c>
      <c r="C70" s="6">
        <v>1534</v>
      </c>
      <c r="D70" s="13" t="s">
        <v>93</v>
      </c>
      <c r="E70" s="13" t="str">
        <f t="shared" si="22"/>
        <v>1534 - Thiết bị, phụ tùng thay thế</v>
      </c>
      <c r="F70" s="8" t="str">
        <f t="shared" si="1"/>
        <v>D400</v>
      </c>
      <c r="G70" s="10" t="s">
        <v>86</v>
      </c>
      <c r="H70" s="8" t="s">
        <v>87</v>
      </c>
      <c r="I70" s="10">
        <f t="shared" si="23"/>
        <v>141</v>
      </c>
    </row>
    <row r="71" spans="1:9" x14ac:dyDescent="0.25">
      <c r="A71" s="5">
        <v>153</v>
      </c>
      <c r="B71" s="6">
        <v>1534</v>
      </c>
      <c r="C71" s="6" t="s">
        <v>94</v>
      </c>
      <c r="D71" s="13" t="s">
        <v>95</v>
      </c>
      <c r="E71" s="13" t="str">
        <f t="shared" si="22"/>
        <v>1534a - Thiết bị, phụ tùng thay thế - dài hạn</v>
      </c>
      <c r="F71" s="8" t="str">
        <f t="shared" si="1"/>
        <v>D400</v>
      </c>
      <c r="G71" s="10" t="s">
        <v>86</v>
      </c>
      <c r="H71" s="8" t="s">
        <v>96</v>
      </c>
      <c r="I71" s="10">
        <f t="shared" si="23"/>
        <v>263</v>
      </c>
    </row>
    <row r="72" spans="1:9" x14ac:dyDescent="0.25">
      <c r="A72" s="5">
        <v>154</v>
      </c>
      <c r="B72" s="6">
        <v>1541</v>
      </c>
      <c r="C72" s="6"/>
      <c r="D72" s="13" t="s">
        <v>97</v>
      </c>
      <c r="E72" s="13" t="str">
        <f t="shared" si="22"/>
        <v>1541 - Chi phí sản xuất, kinh doanh dở dang</v>
      </c>
      <c r="F72" s="8" t="str">
        <f t="shared" si="1"/>
        <v>D400</v>
      </c>
      <c r="G72" s="10" t="s">
        <v>86</v>
      </c>
      <c r="H72" s="8" t="s">
        <v>87</v>
      </c>
      <c r="I72" s="10">
        <f t="shared" si="23"/>
        <v>141</v>
      </c>
    </row>
    <row r="73" spans="1:9" x14ac:dyDescent="0.25">
      <c r="A73" s="5">
        <v>154</v>
      </c>
      <c r="B73" s="6">
        <v>1542</v>
      </c>
      <c r="C73" s="6"/>
      <c r="D73" s="13" t="s">
        <v>98</v>
      </c>
      <c r="E73" s="13" t="str">
        <f t="shared" si="22"/>
        <v>1542 - Chi phí sản xuất, kinh doanh dở dang dài hạn</v>
      </c>
      <c r="F73" s="8" t="str">
        <f t="shared" si="1"/>
        <v>D400</v>
      </c>
      <c r="G73" s="10" t="s">
        <v>86</v>
      </c>
      <c r="H73" s="8" t="s">
        <v>99</v>
      </c>
      <c r="I73" s="10">
        <f t="shared" si="23"/>
        <v>241</v>
      </c>
    </row>
    <row r="74" spans="1:9" x14ac:dyDescent="0.25">
      <c r="A74" s="5"/>
      <c r="B74" s="6"/>
      <c r="C74" s="6"/>
      <c r="D74" s="12" t="s">
        <v>100</v>
      </c>
      <c r="E74" s="13"/>
      <c r="F74" s="8"/>
      <c r="G74" s="10"/>
      <c r="H74" s="8"/>
      <c r="I74" s="6"/>
    </row>
    <row r="75" spans="1:9" x14ac:dyDescent="0.25">
      <c r="A75" s="5">
        <v>155</v>
      </c>
      <c r="B75" s="6">
        <v>1551</v>
      </c>
      <c r="C75" s="6"/>
      <c r="D75" s="13" t="s">
        <v>101</v>
      </c>
      <c r="E75" s="13" t="str">
        <f t="shared" ref="E75:E76" si="24">IF(C75="",TEXT(CONCATENATE(B75," ","-"," ",D75),1),TEXT(CONCATENATE(C75," ","-"," ",D75),1))</f>
        <v>1551 - Thành phẩm nhập kho</v>
      </c>
      <c r="F75" s="8" t="str">
        <f t="shared" si="1"/>
        <v>D400</v>
      </c>
      <c r="G75" s="10" t="s">
        <v>86</v>
      </c>
      <c r="H75" s="8" t="s">
        <v>87</v>
      </c>
      <c r="I75" s="10">
        <f t="shared" ref="I75:I76" si="25">LEFT(H75,3)*1</f>
        <v>141</v>
      </c>
    </row>
    <row r="76" spans="1:9" x14ac:dyDescent="0.25">
      <c r="A76" s="5">
        <v>155</v>
      </c>
      <c r="B76" s="6">
        <v>1557</v>
      </c>
      <c r="C76" s="6"/>
      <c r="D76" s="14" t="s">
        <v>102</v>
      </c>
      <c r="E76" s="13" t="str">
        <f t="shared" si="24"/>
        <v>1557 - Thành phẩm bất động sản</v>
      </c>
      <c r="F76" s="8" t="str">
        <f t="shared" si="1"/>
        <v>D400</v>
      </c>
      <c r="G76" s="10" t="s">
        <v>86</v>
      </c>
      <c r="H76" s="8" t="s">
        <v>87</v>
      </c>
      <c r="I76" s="10">
        <f t="shared" si="25"/>
        <v>141</v>
      </c>
    </row>
    <row r="77" spans="1:9" x14ac:dyDescent="0.25">
      <c r="A77" s="5"/>
      <c r="B77" s="6"/>
      <c r="C77" s="6"/>
      <c r="D77" s="12" t="s">
        <v>103</v>
      </c>
      <c r="E77" s="13"/>
      <c r="F77" s="8"/>
      <c r="G77" s="10"/>
      <c r="H77" s="8"/>
      <c r="I77" s="6"/>
    </row>
    <row r="78" spans="1:9" x14ac:dyDescent="0.25">
      <c r="A78" s="5">
        <v>156</v>
      </c>
      <c r="B78" s="6">
        <v>1561</v>
      </c>
      <c r="C78" s="6"/>
      <c r="D78" s="13" t="s">
        <v>104</v>
      </c>
      <c r="E78" s="13" t="str">
        <f t="shared" ref="E78:E82" si="26">IF(C78="",TEXT(CONCATENATE(B78," ","-"," ",D78),1),TEXT(CONCATENATE(C78," ","-"," ",D78),1))</f>
        <v>1561 - Giá mua hàng hóa</v>
      </c>
      <c r="F78" s="8" t="str">
        <f t="shared" si="1"/>
        <v>D400</v>
      </c>
      <c r="G78" s="10" t="s">
        <v>86</v>
      </c>
      <c r="H78" s="8" t="s">
        <v>87</v>
      </c>
      <c r="I78" s="10">
        <f t="shared" ref="I78:I82" si="27">LEFT(H78,3)*1</f>
        <v>141</v>
      </c>
    </row>
    <row r="79" spans="1:9" x14ac:dyDescent="0.25">
      <c r="A79" s="5">
        <v>156</v>
      </c>
      <c r="B79" s="6">
        <v>1562</v>
      </c>
      <c r="C79" s="6"/>
      <c r="D79" s="13" t="s">
        <v>105</v>
      </c>
      <c r="E79" s="13" t="str">
        <f t="shared" si="26"/>
        <v>1562 - Chi phí thu mua hàng hóa</v>
      </c>
      <c r="F79" s="8" t="str">
        <f t="shared" si="1"/>
        <v>D400</v>
      </c>
      <c r="G79" s="10" t="s">
        <v>86</v>
      </c>
      <c r="H79" s="8" t="s">
        <v>87</v>
      </c>
      <c r="I79" s="10">
        <f t="shared" si="27"/>
        <v>141</v>
      </c>
    </row>
    <row r="80" spans="1:9" x14ac:dyDescent="0.25">
      <c r="A80" s="5">
        <v>156</v>
      </c>
      <c r="B80" s="6">
        <v>1567</v>
      </c>
      <c r="C80" s="6"/>
      <c r="D80" s="13" t="s">
        <v>106</v>
      </c>
      <c r="E80" s="13" t="str">
        <f t="shared" si="26"/>
        <v xml:space="preserve">1567 - Hàng hóa bất động sản </v>
      </c>
      <c r="F80" s="8" t="str">
        <f t="shared" ref="F80:F146" si="28">LEFT(G80,4)</f>
        <v>D400</v>
      </c>
      <c r="G80" s="10" t="s">
        <v>86</v>
      </c>
      <c r="H80" s="8" t="s">
        <v>87</v>
      </c>
      <c r="I80" s="10">
        <f t="shared" si="27"/>
        <v>141</v>
      </c>
    </row>
    <row r="81" spans="1:9" x14ac:dyDescent="0.25">
      <c r="A81" s="5">
        <v>157</v>
      </c>
      <c r="B81" s="6">
        <f t="shared" ref="B81:B82" si="29">A81</f>
        <v>157</v>
      </c>
      <c r="C81" s="6"/>
      <c r="D81" s="13" t="s">
        <v>107</v>
      </c>
      <c r="E81" s="13" t="str">
        <f t="shared" si="26"/>
        <v>157 - Hàng gửi đi bán</v>
      </c>
      <c r="F81" s="8" t="str">
        <f t="shared" si="28"/>
        <v>D400</v>
      </c>
      <c r="G81" s="10" t="s">
        <v>86</v>
      </c>
      <c r="H81" s="8" t="s">
        <v>87</v>
      </c>
      <c r="I81" s="10">
        <f t="shared" si="27"/>
        <v>141</v>
      </c>
    </row>
    <row r="82" spans="1:9" x14ac:dyDescent="0.25">
      <c r="A82" s="5">
        <v>158</v>
      </c>
      <c r="B82" s="6">
        <f t="shared" si="29"/>
        <v>158</v>
      </c>
      <c r="C82" s="6"/>
      <c r="D82" s="13" t="s">
        <v>108</v>
      </c>
      <c r="E82" s="13" t="str">
        <f t="shared" si="26"/>
        <v>158 - Hàng hoá kho bảo thuế</v>
      </c>
      <c r="F82" s="8" t="str">
        <f t="shared" si="28"/>
        <v>D400</v>
      </c>
      <c r="G82" s="10" t="s">
        <v>86</v>
      </c>
      <c r="H82" s="8" t="s">
        <v>87</v>
      </c>
      <c r="I82" s="10">
        <f t="shared" si="27"/>
        <v>141</v>
      </c>
    </row>
    <row r="83" spans="1:9" x14ac:dyDescent="0.25">
      <c r="A83" s="5"/>
      <c r="B83" s="6"/>
      <c r="C83" s="6"/>
      <c r="D83" s="13"/>
      <c r="E83" s="13"/>
      <c r="F83" s="8" t="str">
        <f t="shared" si="28"/>
        <v/>
      </c>
      <c r="G83" s="10"/>
      <c r="H83" s="8"/>
      <c r="I83" s="6"/>
    </row>
    <row r="84" spans="1:9" x14ac:dyDescent="0.25">
      <c r="A84" s="5"/>
      <c r="B84" s="6"/>
      <c r="C84" s="6"/>
      <c r="D84" s="12" t="s">
        <v>109</v>
      </c>
      <c r="E84" s="13"/>
      <c r="F84" s="8" t="str">
        <f t="shared" si="28"/>
        <v/>
      </c>
      <c r="G84" s="10"/>
      <c r="H84" s="8"/>
      <c r="I84" s="6"/>
    </row>
    <row r="85" spans="1:9" x14ac:dyDescent="0.25">
      <c r="A85" s="5">
        <v>161</v>
      </c>
      <c r="B85" s="6">
        <v>1611</v>
      </c>
      <c r="C85" s="6"/>
      <c r="D85" s="13" t="s">
        <v>110</v>
      </c>
      <c r="E85" s="13" t="str">
        <f t="shared" ref="E85:E86" si="30">IF(C85="",TEXT(CONCATENATE(B85," ","-"," ",D85),1),TEXT(CONCATENATE(C85," ","-"," ",D85),1))</f>
        <v>1611 - Chi sự nghiệp năm trước</v>
      </c>
      <c r="F85" s="16" t="str">
        <f t="shared" si="28"/>
        <v/>
      </c>
      <c r="G85" s="17"/>
      <c r="H85" s="8" t="s">
        <v>111</v>
      </c>
      <c r="I85" s="10">
        <f t="shared" ref="I85:I86" si="31">LEFT(H85,3)*1</f>
        <v>431</v>
      </c>
    </row>
    <row r="86" spans="1:9" x14ac:dyDescent="0.25">
      <c r="A86" s="5">
        <v>161</v>
      </c>
      <c r="B86" s="6">
        <v>1612</v>
      </c>
      <c r="C86" s="6"/>
      <c r="D86" s="13" t="s">
        <v>112</v>
      </c>
      <c r="E86" s="13" t="str">
        <f t="shared" si="30"/>
        <v>1612 - Chi sự nghiệp năm nay</v>
      </c>
      <c r="F86" s="16" t="str">
        <f t="shared" si="28"/>
        <v/>
      </c>
      <c r="G86" s="17"/>
      <c r="H86" s="8" t="s">
        <v>111</v>
      </c>
      <c r="I86" s="10">
        <f t="shared" si="31"/>
        <v>431</v>
      </c>
    </row>
    <row r="87" spans="1:9" x14ac:dyDescent="0.25">
      <c r="A87" s="5"/>
      <c r="B87" s="6"/>
      <c r="C87" s="6"/>
      <c r="D87" s="13"/>
      <c r="E87" s="13"/>
      <c r="F87" s="8" t="str">
        <f t="shared" si="28"/>
        <v/>
      </c>
      <c r="G87" s="10"/>
      <c r="H87" s="8"/>
      <c r="I87" s="6"/>
    </row>
    <row r="88" spans="1:9" x14ac:dyDescent="0.25">
      <c r="A88" s="5">
        <v>171</v>
      </c>
      <c r="B88" s="6">
        <f>A88</f>
        <v>171</v>
      </c>
      <c r="C88" s="6"/>
      <c r="D88" s="13" t="s">
        <v>113</v>
      </c>
      <c r="E88" s="13" t="str">
        <f t="shared" ref="E88" si="32">IF(C88="",TEXT(CONCATENATE(B88," ","-"," ",D88),1),TEXT(CONCATENATE(C88," ","-"," ",D88),1))</f>
        <v>171 - Giao dịch mua bán lại trái phiếu chính phủ</v>
      </c>
      <c r="F88" s="16" t="str">
        <f t="shared" si="28"/>
        <v/>
      </c>
      <c r="G88" s="17"/>
      <c r="H88" s="8" t="s">
        <v>114</v>
      </c>
      <c r="I88" s="10">
        <f>LEFT(H88,3)*1</f>
        <v>154</v>
      </c>
    </row>
    <row r="89" spans="1:9" x14ac:dyDescent="0.25">
      <c r="A89" s="5"/>
      <c r="B89" s="6"/>
      <c r="C89" s="6"/>
      <c r="D89" s="13"/>
      <c r="E89" s="13"/>
      <c r="F89" s="8" t="str">
        <f t="shared" si="28"/>
        <v/>
      </c>
      <c r="G89" s="10"/>
      <c r="H89" s="8"/>
      <c r="I89" s="6"/>
    </row>
    <row r="90" spans="1:9" x14ac:dyDescent="0.25">
      <c r="A90" s="5"/>
      <c r="B90" s="6"/>
      <c r="C90" s="6"/>
      <c r="D90" s="12" t="s">
        <v>115</v>
      </c>
      <c r="E90" s="13"/>
      <c r="F90" s="8" t="str">
        <f t="shared" si="28"/>
        <v/>
      </c>
      <c r="G90" s="10"/>
      <c r="H90" s="8"/>
      <c r="I90" s="6"/>
    </row>
    <row r="91" spans="1:9" x14ac:dyDescent="0.25">
      <c r="A91" s="5">
        <v>211</v>
      </c>
      <c r="B91" s="6">
        <v>2111</v>
      </c>
      <c r="C91" s="6"/>
      <c r="D91" s="13" t="s">
        <v>116</v>
      </c>
      <c r="E91" s="13" t="str">
        <f t="shared" ref="E91:E96" si="33">IF(C91="",TEXT(CONCATENATE(B91," ","-"," ",D91),1),TEXT(CONCATENATE(C91," ","-"," ",D91),1))</f>
        <v>2111 - Nhà cửa, vật kiến trúc</v>
      </c>
      <c r="F91" s="8" t="str">
        <f t="shared" si="28"/>
        <v>D600</v>
      </c>
      <c r="G91" s="10" t="s">
        <v>117</v>
      </c>
      <c r="H91" s="8" t="s">
        <v>118</v>
      </c>
      <c r="I91" s="10">
        <f t="shared" ref="I91:I96" si="34">LEFT(H91,3)*1</f>
        <v>222</v>
      </c>
    </row>
    <row r="92" spans="1:9" x14ac:dyDescent="0.25">
      <c r="A92" s="5">
        <v>211</v>
      </c>
      <c r="B92" s="6">
        <v>2112</v>
      </c>
      <c r="C92" s="6"/>
      <c r="D92" s="13" t="s">
        <v>119</v>
      </c>
      <c r="E92" s="13" t="str">
        <f t="shared" si="33"/>
        <v>2112 - Máy móc, thiết bị</v>
      </c>
      <c r="F92" s="8" t="str">
        <f t="shared" si="28"/>
        <v>D600</v>
      </c>
      <c r="G92" s="10" t="s">
        <v>117</v>
      </c>
      <c r="H92" s="8" t="s">
        <v>118</v>
      </c>
      <c r="I92" s="10">
        <f t="shared" si="34"/>
        <v>222</v>
      </c>
    </row>
    <row r="93" spans="1:9" x14ac:dyDescent="0.25">
      <c r="A93" s="5">
        <v>211</v>
      </c>
      <c r="B93" s="6">
        <v>2113</v>
      </c>
      <c r="C93" s="6"/>
      <c r="D93" s="13" t="s">
        <v>120</v>
      </c>
      <c r="E93" s="13" t="str">
        <f t="shared" si="33"/>
        <v>2113 - Phương tiện vận tải, truyền dẫn</v>
      </c>
      <c r="F93" s="8" t="str">
        <f t="shared" si="28"/>
        <v>D600</v>
      </c>
      <c r="G93" s="10" t="s">
        <v>117</v>
      </c>
      <c r="H93" s="8" t="s">
        <v>118</v>
      </c>
      <c r="I93" s="10">
        <f t="shared" si="34"/>
        <v>222</v>
      </c>
    </row>
    <row r="94" spans="1:9" x14ac:dyDescent="0.25">
      <c r="A94" s="5">
        <v>211</v>
      </c>
      <c r="B94" s="6">
        <v>2114</v>
      </c>
      <c r="C94" s="6"/>
      <c r="D94" s="13" t="s">
        <v>121</v>
      </c>
      <c r="E94" s="13" t="str">
        <f t="shared" si="33"/>
        <v>2114 - Thiết bị, dụng cụ quản lý</v>
      </c>
      <c r="F94" s="8" t="str">
        <f t="shared" si="28"/>
        <v>D600</v>
      </c>
      <c r="G94" s="10" t="s">
        <v>117</v>
      </c>
      <c r="H94" s="8" t="s">
        <v>118</v>
      </c>
      <c r="I94" s="10">
        <f t="shared" si="34"/>
        <v>222</v>
      </c>
    </row>
    <row r="95" spans="1:9" x14ac:dyDescent="0.25">
      <c r="A95" s="5">
        <v>211</v>
      </c>
      <c r="B95" s="6">
        <v>2115</v>
      </c>
      <c r="C95" s="6"/>
      <c r="D95" s="13" t="s">
        <v>122</v>
      </c>
      <c r="E95" s="13" t="str">
        <f t="shared" si="33"/>
        <v>2115 - Cây lâu năm, súc vật làm việc và cho sản phẩm</v>
      </c>
      <c r="F95" s="8" t="str">
        <f t="shared" si="28"/>
        <v>D600</v>
      </c>
      <c r="G95" s="10" t="s">
        <v>117</v>
      </c>
      <c r="H95" s="8" t="s">
        <v>118</v>
      </c>
      <c r="I95" s="10">
        <f t="shared" si="34"/>
        <v>222</v>
      </c>
    </row>
    <row r="96" spans="1:9" x14ac:dyDescent="0.25">
      <c r="A96" s="5">
        <v>211</v>
      </c>
      <c r="B96" s="6">
        <v>2118</v>
      </c>
      <c r="C96" s="6"/>
      <c r="D96" s="13" t="s">
        <v>123</v>
      </c>
      <c r="E96" s="13" t="str">
        <f t="shared" si="33"/>
        <v xml:space="preserve">2118 - TSCĐ khác </v>
      </c>
      <c r="F96" s="8" t="str">
        <f t="shared" si="28"/>
        <v>D600</v>
      </c>
      <c r="G96" s="10" t="s">
        <v>117</v>
      </c>
      <c r="H96" s="8" t="s">
        <v>118</v>
      </c>
      <c r="I96" s="10">
        <f t="shared" si="34"/>
        <v>222</v>
      </c>
    </row>
    <row r="97" spans="1:9" x14ac:dyDescent="0.25">
      <c r="A97" s="5"/>
      <c r="B97" s="6"/>
      <c r="C97" s="6"/>
      <c r="D97" s="13"/>
      <c r="E97" s="13"/>
      <c r="F97" s="8" t="str">
        <f t="shared" si="28"/>
        <v/>
      </c>
      <c r="G97" s="10"/>
      <c r="H97" s="8"/>
      <c r="I97" s="6"/>
    </row>
    <row r="98" spans="1:9" x14ac:dyDescent="0.25">
      <c r="A98" s="5"/>
      <c r="B98" s="6"/>
      <c r="C98" s="6"/>
      <c r="D98" s="12" t="s">
        <v>124</v>
      </c>
      <c r="E98" s="13"/>
      <c r="F98" s="8"/>
      <c r="G98" s="10"/>
      <c r="H98" s="8"/>
      <c r="I98" s="6"/>
    </row>
    <row r="99" spans="1:9" x14ac:dyDescent="0.25">
      <c r="A99" s="5">
        <v>212</v>
      </c>
      <c r="B99" s="6">
        <v>2121</v>
      </c>
      <c r="C99" s="6"/>
      <c r="D99" s="13" t="s">
        <v>125</v>
      </c>
      <c r="E99" s="13" t="str">
        <f t="shared" ref="E99:E100" si="35">IF(C99="",TEXT(CONCATENATE(B99," ","-"," ",D99),1),TEXT(CONCATENATE(C99," ","-"," ",D99),1))</f>
        <v>2121 - TSCĐ hữu hình thuê tài chính</v>
      </c>
      <c r="F99" s="8" t="str">
        <f t="shared" si="28"/>
        <v>D600</v>
      </c>
      <c r="G99" s="10" t="s">
        <v>117</v>
      </c>
      <c r="H99" s="8" t="s">
        <v>126</v>
      </c>
      <c r="I99" s="10">
        <f t="shared" ref="I99:I100" si="36">LEFT(H99,3)*1</f>
        <v>225</v>
      </c>
    </row>
    <row r="100" spans="1:9" x14ac:dyDescent="0.25">
      <c r="A100" s="5">
        <v>212</v>
      </c>
      <c r="B100" s="6">
        <v>2122</v>
      </c>
      <c r="C100" s="6"/>
      <c r="D100" s="13" t="s">
        <v>127</v>
      </c>
      <c r="E100" s="13" t="str">
        <f t="shared" si="35"/>
        <v>2122 - TSCĐ vô hình thuê tài chính</v>
      </c>
      <c r="F100" s="8" t="str">
        <f t="shared" si="28"/>
        <v>D600</v>
      </c>
      <c r="G100" s="10" t="s">
        <v>117</v>
      </c>
      <c r="H100" s="8" t="s">
        <v>126</v>
      </c>
      <c r="I100" s="10">
        <f t="shared" si="36"/>
        <v>225</v>
      </c>
    </row>
    <row r="101" spans="1:9" x14ac:dyDescent="0.25">
      <c r="A101" s="5"/>
      <c r="B101" s="6"/>
      <c r="C101" s="6"/>
      <c r="D101" s="13"/>
      <c r="E101" s="13"/>
      <c r="F101" s="8" t="str">
        <f t="shared" si="28"/>
        <v/>
      </c>
      <c r="G101" s="10"/>
      <c r="H101" s="8"/>
      <c r="I101" s="6"/>
    </row>
    <row r="102" spans="1:9" x14ac:dyDescent="0.25">
      <c r="A102" s="5"/>
      <c r="B102" s="6"/>
      <c r="C102" s="6"/>
      <c r="D102" s="12" t="s">
        <v>128</v>
      </c>
      <c r="E102" s="13"/>
      <c r="F102" s="8" t="str">
        <f t="shared" si="28"/>
        <v/>
      </c>
      <c r="G102" s="10"/>
      <c r="H102" s="8"/>
      <c r="I102" s="6"/>
    </row>
    <row r="103" spans="1:9" x14ac:dyDescent="0.25">
      <c r="A103" s="5">
        <v>213</v>
      </c>
      <c r="B103" s="6">
        <v>2131</v>
      </c>
      <c r="C103" s="6"/>
      <c r="D103" s="13" t="s">
        <v>129</v>
      </c>
      <c r="E103" s="13" t="str">
        <f t="shared" ref="E103:E109" si="37">IF(C103="",TEXT(CONCATENATE(B103," ","-"," ",D103),1),TEXT(CONCATENATE(C103," ","-"," ",D103),1))</f>
        <v>2131 - Quyền sử dụng đất</v>
      </c>
      <c r="F103" s="8" t="str">
        <f t="shared" si="28"/>
        <v>D600</v>
      </c>
      <c r="G103" s="10" t="s">
        <v>117</v>
      </c>
      <c r="H103" s="8" t="s">
        <v>130</v>
      </c>
      <c r="I103" s="10">
        <f t="shared" ref="I103:I109" si="38">LEFT(H103,3)*1</f>
        <v>228</v>
      </c>
    </row>
    <row r="104" spans="1:9" x14ac:dyDescent="0.25">
      <c r="A104" s="5">
        <v>213</v>
      </c>
      <c r="B104" s="6">
        <v>2132</v>
      </c>
      <c r="C104" s="6"/>
      <c r="D104" s="13" t="s">
        <v>131</v>
      </c>
      <c r="E104" s="13" t="str">
        <f t="shared" si="37"/>
        <v>2132 - Quyền phát hành</v>
      </c>
      <c r="F104" s="8" t="str">
        <f t="shared" si="28"/>
        <v>D600</v>
      </c>
      <c r="G104" s="10" t="s">
        <v>117</v>
      </c>
      <c r="H104" s="8" t="s">
        <v>130</v>
      </c>
      <c r="I104" s="10">
        <f t="shared" si="38"/>
        <v>228</v>
      </c>
    </row>
    <row r="105" spans="1:9" x14ac:dyDescent="0.25">
      <c r="A105" s="5">
        <v>213</v>
      </c>
      <c r="B105" s="6">
        <v>2133</v>
      </c>
      <c r="C105" s="6"/>
      <c r="D105" s="13" t="s">
        <v>132</v>
      </c>
      <c r="E105" s="13" t="str">
        <f t="shared" si="37"/>
        <v>2133 - Bản quyền, bằng sáng chế</v>
      </c>
      <c r="F105" s="8" t="str">
        <f t="shared" si="28"/>
        <v>D600</v>
      </c>
      <c r="G105" s="10" t="s">
        <v>117</v>
      </c>
      <c r="H105" s="8" t="s">
        <v>130</v>
      </c>
      <c r="I105" s="10">
        <f t="shared" si="38"/>
        <v>228</v>
      </c>
    </row>
    <row r="106" spans="1:9" x14ac:dyDescent="0.25">
      <c r="A106" s="5">
        <v>213</v>
      </c>
      <c r="B106" s="6">
        <v>2134</v>
      </c>
      <c r="C106" s="6"/>
      <c r="D106" s="13" t="s">
        <v>133</v>
      </c>
      <c r="E106" s="13" t="str">
        <f t="shared" si="37"/>
        <v>2134 - Nhãn hiệu, tên thương mại</v>
      </c>
      <c r="F106" s="8" t="str">
        <f t="shared" si="28"/>
        <v>D600</v>
      </c>
      <c r="G106" s="10" t="s">
        <v>117</v>
      </c>
      <c r="H106" s="8" t="s">
        <v>130</v>
      </c>
      <c r="I106" s="10">
        <f t="shared" si="38"/>
        <v>228</v>
      </c>
    </row>
    <row r="107" spans="1:9" x14ac:dyDescent="0.25">
      <c r="A107" s="5">
        <v>213</v>
      </c>
      <c r="B107" s="6">
        <v>2135</v>
      </c>
      <c r="C107" s="6"/>
      <c r="D107" s="13" t="s">
        <v>134</v>
      </c>
      <c r="E107" s="13" t="str">
        <f t="shared" si="37"/>
        <v>2135 - Chương trình phần mềm</v>
      </c>
      <c r="F107" s="8" t="str">
        <f t="shared" si="28"/>
        <v>D600</v>
      </c>
      <c r="G107" s="10" t="s">
        <v>117</v>
      </c>
      <c r="H107" s="8" t="s">
        <v>130</v>
      </c>
      <c r="I107" s="10">
        <f t="shared" si="38"/>
        <v>228</v>
      </c>
    </row>
    <row r="108" spans="1:9" x14ac:dyDescent="0.25">
      <c r="A108" s="5">
        <v>213</v>
      </c>
      <c r="B108" s="6">
        <v>2136</v>
      </c>
      <c r="C108" s="6"/>
      <c r="D108" s="13" t="s">
        <v>135</v>
      </c>
      <c r="E108" s="13" t="str">
        <f t="shared" si="37"/>
        <v>2136 - Giấy phép và giấy phép nhượng quyền</v>
      </c>
      <c r="F108" s="8" t="str">
        <f t="shared" si="28"/>
        <v>D600</v>
      </c>
      <c r="G108" s="10" t="s">
        <v>117</v>
      </c>
      <c r="H108" s="8" t="s">
        <v>130</v>
      </c>
      <c r="I108" s="10">
        <f t="shared" si="38"/>
        <v>228</v>
      </c>
    </row>
    <row r="109" spans="1:9" x14ac:dyDescent="0.25">
      <c r="A109" s="5">
        <v>213</v>
      </c>
      <c r="B109" s="6">
        <v>2138</v>
      </c>
      <c r="C109" s="6"/>
      <c r="D109" s="13" t="s">
        <v>136</v>
      </c>
      <c r="E109" s="13" t="str">
        <f t="shared" si="37"/>
        <v>2138 - TSCĐ vô hình khác</v>
      </c>
      <c r="F109" s="8" t="str">
        <f t="shared" si="28"/>
        <v>D600</v>
      </c>
      <c r="G109" s="10" t="s">
        <v>117</v>
      </c>
      <c r="H109" s="8" t="s">
        <v>130</v>
      </c>
      <c r="I109" s="10">
        <f t="shared" si="38"/>
        <v>228</v>
      </c>
    </row>
    <row r="110" spans="1:9" x14ac:dyDescent="0.25">
      <c r="A110" s="5"/>
      <c r="B110" s="6"/>
      <c r="C110" s="6"/>
      <c r="D110" s="13"/>
      <c r="E110" s="13"/>
      <c r="F110" s="8" t="str">
        <f t="shared" si="28"/>
        <v/>
      </c>
      <c r="G110" s="10"/>
      <c r="H110" s="8"/>
      <c r="I110" s="6"/>
    </row>
    <row r="111" spans="1:9" x14ac:dyDescent="0.25">
      <c r="A111" s="5"/>
      <c r="B111" s="6"/>
      <c r="C111" s="6"/>
      <c r="D111" s="12" t="s">
        <v>137</v>
      </c>
      <c r="E111" s="13"/>
      <c r="F111" s="8" t="str">
        <f t="shared" si="28"/>
        <v/>
      </c>
      <c r="G111" s="10"/>
      <c r="H111" s="8"/>
      <c r="I111" s="6"/>
    </row>
    <row r="112" spans="1:9" x14ac:dyDescent="0.25">
      <c r="A112" s="5">
        <v>214</v>
      </c>
      <c r="B112" s="6">
        <v>2141</v>
      </c>
      <c r="C112" s="6"/>
      <c r="D112" s="13" t="s">
        <v>138</v>
      </c>
      <c r="E112" s="13" t="str">
        <f t="shared" ref="E112:E115" si="39">IF(C112="",TEXT(CONCATENATE(B112," ","-"," ",D112),1),TEXT(CONCATENATE(C112," ","-"," ",D112),1))</f>
        <v>2141 - Hao mòn TSCĐ hữu hình</v>
      </c>
      <c r="F112" s="8" t="str">
        <f t="shared" si="28"/>
        <v>D600</v>
      </c>
      <c r="G112" s="10" t="s">
        <v>117</v>
      </c>
      <c r="H112" s="8" t="s">
        <v>139</v>
      </c>
      <c r="I112" s="10">
        <f t="shared" ref="I112:I115" si="40">LEFT(H112,3)*1</f>
        <v>223</v>
      </c>
    </row>
    <row r="113" spans="1:9" x14ac:dyDescent="0.25">
      <c r="A113" s="5">
        <v>214</v>
      </c>
      <c r="B113" s="6">
        <v>2142</v>
      </c>
      <c r="C113" s="6"/>
      <c r="D113" s="13" t="s">
        <v>140</v>
      </c>
      <c r="E113" s="13" t="str">
        <f t="shared" si="39"/>
        <v>2142 - Hao mòn TSCĐ thuê tài chính</v>
      </c>
      <c r="F113" s="8" t="str">
        <f t="shared" si="28"/>
        <v>D600</v>
      </c>
      <c r="G113" s="10" t="s">
        <v>117</v>
      </c>
      <c r="H113" s="8" t="s">
        <v>141</v>
      </c>
      <c r="I113" s="10">
        <f t="shared" si="40"/>
        <v>226</v>
      </c>
    </row>
    <row r="114" spans="1:9" x14ac:dyDescent="0.25">
      <c r="A114" s="5">
        <v>214</v>
      </c>
      <c r="B114" s="6">
        <v>2143</v>
      </c>
      <c r="C114" s="6"/>
      <c r="D114" s="13" t="s">
        <v>142</v>
      </c>
      <c r="E114" s="13" t="str">
        <f t="shared" si="39"/>
        <v xml:space="preserve">2143 - Hao mòn TSCĐ vô hình </v>
      </c>
      <c r="F114" s="8" t="str">
        <f t="shared" si="28"/>
        <v>D600</v>
      </c>
      <c r="G114" s="10" t="s">
        <v>117</v>
      </c>
      <c r="H114" s="8" t="s">
        <v>143</v>
      </c>
      <c r="I114" s="10">
        <f t="shared" si="40"/>
        <v>229</v>
      </c>
    </row>
    <row r="115" spans="1:9" x14ac:dyDescent="0.25">
      <c r="A115" s="5">
        <v>214</v>
      </c>
      <c r="B115" s="6">
        <v>2147</v>
      </c>
      <c r="C115" s="6"/>
      <c r="D115" s="13" t="s">
        <v>144</v>
      </c>
      <c r="E115" s="13" t="str">
        <f t="shared" si="39"/>
        <v>2147 - Hao mòn bất động sản đầu tư</v>
      </c>
      <c r="F115" s="8" t="str">
        <f t="shared" si="28"/>
        <v>D700</v>
      </c>
      <c r="G115" s="10" t="s">
        <v>30</v>
      </c>
      <c r="H115" s="8" t="s">
        <v>145</v>
      </c>
      <c r="I115" s="10">
        <f t="shared" si="40"/>
        <v>232</v>
      </c>
    </row>
    <row r="116" spans="1:9" x14ac:dyDescent="0.25">
      <c r="A116" s="5"/>
      <c r="B116" s="6"/>
      <c r="C116" s="6"/>
      <c r="D116" s="13"/>
      <c r="E116" s="13"/>
      <c r="F116" s="8" t="str">
        <f t="shared" si="28"/>
        <v/>
      </c>
      <c r="G116" s="10"/>
      <c r="H116" s="8"/>
      <c r="I116" s="6"/>
    </row>
    <row r="117" spans="1:9" x14ac:dyDescent="0.25">
      <c r="A117" s="5">
        <v>217</v>
      </c>
      <c r="B117" s="6">
        <f t="shared" ref="B117:B119" si="41">A117</f>
        <v>217</v>
      </c>
      <c r="C117" s="6"/>
      <c r="D117" s="13" t="s">
        <v>146</v>
      </c>
      <c r="E117" s="13" t="str">
        <f t="shared" ref="E117:E119" si="42">IF(C117="",TEXT(CONCATENATE(B117," ","-"," ",D117),1),TEXT(CONCATENATE(C117," ","-"," ",D117),1))</f>
        <v>217 - Bất động sản đầu tư</v>
      </c>
      <c r="F117" s="8" t="str">
        <f t="shared" si="28"/>
        <v>D700</v>
      </c>
      <c r="G117" s="10" t="s">
        <v>30</v>
      </c>
      <c r="H117" s="8" t="s">
        <v>147</v>
      </c>
      <c r="I117" s="10">
        <f t="shared" ref="I117:I119" si="43">LEFT(H117,3)*1</f>
        <v>231</v>
      </c>
    </row>
    <row r="118" spans="1:9" x14ac:dyDescent="0.25">
      <c r="A118" s="5">
        <v>221</v>
      </c>
      <c r="B118" s="6">
        <f t="shared" si="41"/>
        <v>221</v>
      </c>
      <c r="C118" s="6"/>
      <c r="D118" s="13" t="s">
        <v>148</v>
      </c>
      <c r="E118" s="13" t="str">
        <f t="shared" si="42"/>
        <v>221 - Đầu tư vào công ty con</v>
      </c>
      <c r="F118" s="8" t="str">
        <f t="shared" si="28"/>
        <v>D700</v>
      </c>
      <c r="G118" s="10" t="s">
        <v>30</v>
      </c>
      <c r="H118" s="8" t="s">
        <v>149</v>
      </c>
      <c r="I118" s="10">
        <f t="shared" si="43"/>
        <v>251</v>
      </c>
    </row>
    <row r="119" spans="1:9" x14ac:dyDescent="0.25">
      <c r="A119" s="5">
        <v>222</v>
      </c>
      <c r="B119" s="6">
        <f t="shared" si="41"/>
        <v>222</v>
      </c>
      <c r="C119" s="6"/>
      <c r="D119" s="13" t="s">
        <v>150</v>
      </c>
      <c r="E119" s="13" t="str">
        <f t="shared" si="42"/>
        <v>222 - Đầu tư vào công ty liên doanh, liên kết</v>
      </c>
      <c r="F119" s="8" t="str">
        <f t="shared" si="28"/>
        <v>D700</v>
      </c>
      <c r="G119" s="10" t="s">
        <v>30</v>
      </c>
      <c r="H119" s="8" t="s">
        <v>151</v>
      </c>
      <c r="I119" s="10">
        <f t="shared" si="43"/>
        <v>252</v>
      </c>
    </row>
    <row r="120" spans="1:9" x14ac:dyDescent="0.25">
      <c r="A120" s="5"/>
      <c r="B120" s="6"/>
      <c r="C120" s="6"/>
      <c r="D120" s="13"/>
      <c r="E120" s="13"/>
      <c r="F120" s="8" t="str">
        <f t="shared" si="28"/>
        <v/>
      </c>
      <c r="G120" s="10"/>
      <c r="H120" s="8"/>
      <c r="I120" s="6"/>
    </row>
    <row r="121" spans="1:9" x14ac:dyDescent="0.25">
      <c r="A121" s="5"/>
      <c r="B121" s="6"/>
      <c r="C121" s="6"/>
      <c r="D121" s="12" t="s">
        <v>152</v>
      </c>
      <c r="E121" s="13"/>
      <c r="F121" s="8" t="str">
        <f t="shared" si="28"/>
        <v/>
      </c>
      <c r="G121" s="10"/>
      <c r="H121" s="8"/>
      <c r="I121" s="6"/>
    </row>
    <row r="122" spans="1:9" x14ac:dyDescent="0.25">
      <c r="A122" s="5">
        <v>228</v>
      </c>
      <c r="B122" s="6">
        <v>2281</v>
      </c>
      <c r="C122" s="6"/>
      <c r="D122" s="13" t="s">
        <v>153</v>
      </c>
      <c r="E122" s="13" t="str">
        <f t="shared" ref="E122:E124" si="44">IF(C122="",TEXT(CONCATENATE(B122," ","-"," ",D122),1),TEXT(CONCATENATE(C122," ","-"," ",D122),1))</f>
        <v>2281 - Đầu tư góp vốn vào đơn vị khác</v>
      </c>
      <c r="F122" s="8" t="str">
        <f t="shared" si="28"/>
        <v>D700</v>
      </c>
      <c r="G122" s="10" t="s">
        <v>30</v>
      </c>
      <c r="H122" s="8" t="s">
        <v>154</v>
      </c>
      <c r="I122" s="10">
        <f t="shared" ref="I122:I124" si="45">LEFT(H122,3)*1</f>
        <v>253</v>
      </c>
    </row>
    <row r="123" spans="1:9" x14ac:dyDescent="0.25">
      <c r="A123" s="5">
        <v>228</v>
      </c>
      <c r="B123" s="6">
        <v>2288</v>
      </c>
      <c r="C123" s="6">
        <v>2288</v>
      </c>
      <c r="D123" s="13" t="s">
        <v>152</v>
      </c>
      <c r="E123" s="13" t="str">
        <f t="shared" si="44"/>
        <v>2288 - Đầu tư khác</v>
      </c>
      <c r="F123" s="8" t="str">
        <f t="shared" si="28"/>
        <v>D200</v>
      </c>
      <c r="G123" s="10" t="s">
        <v>20</v>
      </c>
      <c r="H123" s="8" t="s">
        <v>155</v>
      </c>
      <c r="I123" s="10">
        <f t="shared" si="45"/>
        <v>155</v>
      </c>
    </row>
    <row r="124" spans="1:9" x14ac:dyDescent="0.25">
      <c r="A124" s="5">
        <v>228</v>
      </c>
      <c r="B124" s="6">
        <v>2288</v>
      </c>
      <c r="C124" s="6" t="s">
        <v>156</v>
      </c>
      <c r="D124" s="13" t="s">
        <v>157</v>
      </c>
      <c r="E124" s="13" t="str">
        <f t="shared" si="44"/>
        <v>2288a - Đầu tư khác - dài hạn</v>
      </c>
      <c r="F124" s="8" t="str">
        <f t="shared" si="28"/>
        <v>D700</v>
      </c>
      <c r="G124" s="10" t="s">
        <v>30</v>
      </c>
      <c r="H124" s="8" t="s">
        <v>158</v>
      </c>
      <c r="I124" s="10">
        <f t="shared" si="45"/>
        <v>268</v>
      </c>
    </row>
    <row r="125" spans="1:9" x14ac:dyDescent="0.25">
      <c r="A125" s="5"/>
      <c r="B125" s="6"/>
      <c r="C125" s="6"/>
      <c r="D125" s="13"/>
      <c r="E125" s="13"/>
      <c r="F125" s="8" t="str">
        <f t="shared" si="28"/>
        <v/>
      </c>
      <c r="G125" s="10"/>
      <c r="H125" s="8"/>
      <c r="I125" s="6"/>
    </row>
    <row r="126" spans="1:9" x14ac:dyDescent="0.25">
      <c r="A126" s="5"/>
      <c r="B126" s="6"/>
      <c r="C126" s="6"/>
      <c r="D126" s="12" t="s">
        <v>159</v>
      </c>
      <c r="E126" s="13"/>
      <c r="F126" s="8"/>
      <c r="G126" s="10"/>
      <c r="H126" s="8"/>
      <c r="I126" s="6"/>
    </row>
    <row r="127" spans="1:9" x14ac:dyDescent="0.25">
      <c r="A127" s="5">
        <v>229</v>
      </c>
      <c r="B127" s="6">
        <v>2291</v>
      </c>
      <c r="C127" s="6"/>
      <c r="D127" s="13" t="s">
        <v>160</v>
      </c>
      <c r="E127" s="13" t="str">
        <f t="shared" ref="E127:E131" si="46">IF(C127="",TEXT(CONCATENATE(B127," ","-"," ",D127),1),TEXT(CONCATENATE(C127," ","-"," ",D127),1))</f>
        <v>2291 - Dự phòng giảm giá chứng khoán kinh doanh</v>
      </c>
      <c r="F127" s="8" t="str">
        <f t="shared" si="28"/>
        <v>D200</v>
      </c>
      <c r="G127" s="10" t="s">
        <v>20</v>
      </c>
      <c r="H127" s="8" t="s">
        <v>161</v>
      </c>
      <c r="I127" s="10">
        <f t="shared" ref="I127:I131" si="47">LEFT(H127,3)*1</f>
        <v>122</v>
      </c>
    </row>
    <row r="128" spans="1:9" x14ac:dyDescent="0.25">
      <c r="A128" s="5">
        <v>229</v>
      </c>
      <c r="B128" s="6">
        <v>2292</v>
      </c>
      <c r="C128" s="6"/>
      <c r="D128" s="13" t="s">
        <v>162</v>
      </c>
      <c r="E128" s="13" t="str">
        <f t="shared" si="46"/>
        <v>2292 - Dự phòng tổn thất đầu tư vào đơn vị khác</v>
      </c>
      <c r="F128" s="8" t="str">
        <f t="shared" si="28"/>
        <v>D700</v>
      </c>
      <c r="G128" s="10" t="s">
        <v>30</v>
      </c>
      <c r="H128" s="8" t="s">
        <v>163</v>
      </c>
      <c r="I128" s="10">
        <f t="shared" si="47"/>
        <v>254</v>
      </c>
    </row>
    <row r="129" spans="1:9" x14ac:dyDescent="0.25">
      <c r="A129" s="5">
        <v>229</v>
      </c>
      <c r="B129" s="6">
        <v>2293</v>
      </c>
      <c r="C129" s="6">
        <v>2293</v>
      </c>
      <c r="D129" s="13" t="s">
        <v>164</v>
      </c>
      <c r="E129" s="13" t="str">
        <f t="shared" si="46"/>
        <v>2293 - Dự phòng phải thu khó đòi</v>
      </c>
      <c r="F129" s="8" t="str">
        <f t="shared" si="28"/>
        <v>D300</v>
      </c>
      <c r="G129" s="10" t="s">
        <v>43</v>
      </c>
      <c r="H129" s="8" t="s">
        <v>165</v>
      </c>
      <c r="I129" s="10">
        <f t="shared" si="47"/>
        <v>137</v>
      </c>
    </row>
    <row r="130" spans="1:9" x14ac:dyDescent="0.25">
      <c r="A130" s="5">
        <v>229</v>
      </c>
      <c r="B130" s="6">
        <v>2293</v>
      </c>
      <c r="C130" s="6" t="s">
        <v>166</v>
      </c>
      <c r="D130" s="13" t="s">
        <v>167</v>
      </c>
      <c r="E130" s="13" t="str">
        <f t="shared" si="46"/>
        <v>2293a - Dự phòng phải thu dài hạn khó đòi</v>
      </c>
      <c r="F130" s="8" t="str">
        <f t="shared" si="28"/>
        <v>D300</v>
      </c>
      <c r="G130" s="10" t="s">
        <v>43</v>
      </c>
      <c r="H130" s="8" t="s">
        <v>168</v>
      </c>
      <c r="I130" s="10">
        <f t="shared" si="47"/>
        <v>219</v>
      </c>
    </row>
    <row r="131" spans="1:9" x14ac:dyDescent="0.25">
      <c r="A131" s="5">
        <v>229</v>
      </c>
      <c r="B131" s="6">
        <v>2294</v>
      </c>
      <c r="C131" s="6"/>
      <c r="D131" s="13" t="s">
        <v>169</v>
      </c>
      <c r="E131" s="13" t="str">
        <f t="shared" si="46"/>
        <v>2294 - Dự phòng giảm giá hàng tồn kho</v>
      </c>
      <c r="F131" s="8" t="str">
        <f t="shared" si="28"/>
        <v>D400</v>
      </c>
      <c r="G131" s="10" t="s">
        <v>86</v>
      </c>
      <c r="H131" s="8" t="s">
        <v>170</v>
      </c>
      <c r="I131" s="10">
        <f t="shared" si="47"/>
        <v>149</v>
      </c>
    </row>
    <row r="132" spans="1:9" x14ac:dyDescent="0.25">
      <c r="A132" s="5"/>
      <c r="B132" s="6"/>
      <c r="C132" s="6"/>
      <c r="D132" s="13"/>
      <c r="E132" s="13"/>
      <c r="F132" s="8" t="str">
        <f t="shared" si="28"/>
        <v/>
      </c>
      <c r="G132" s="10"/>
      <c r="H132" s="8"/>
      <c r="I132" s="6"/>
    </row>
    <row r="133" spans="1:9" x14ac:dyDescent="0.25">
      <c r="A133" s="5"/>
      <c r="B133" s="6"/>
      <c r="C133" s="6"/>
      <c r="D133" s="12" t="s">
        <v>171</v>
      </c>
      <c r="E133" s="13"/>
      <c r="F133" s="8" t="str">
        <f t="shared" si="28"/>
        <v/>
      </c>
      <c r="G133" s="10"/>
      <c r="H133" s="8"/>
      <c r="I133" s="6"/>
    </row>
    <row r="134" spans="1:9" x14ac:dyDescent="0.25">
      <c r="A134" s="5">
        <v>241</v>
      </c>
      <c r="B134" s="6">
        <v>2411</v>
      </c>
      <c r="C134" s="6"/>
      <c r="D134" s="13" t="s">
        <v>172</v>
      </c>
      <c r="E134" s="13" t="str">
        <f t="shared" ref="E134:E136" si="48">IF(C134="",TEXT(CONCATENATE(B134," ","-"," ",D134),1),TEXT(CONCATENATE(C134," ","-"," ",D134),1))</f>
        <v>2411 - Mua sắm TSCĐ</v>
      </c>
      <c r="F134" s="8" t="str">
        <f t="shared" si="28"/>
        <v>D600</v>
      </c>
      <c r="G134" s="10" t="s">
        <v>117</v>
      </c>
      <c r="H134" s="8" t="s">
        <v>173</v>
      </c>
      <c r="I134" s="10">
        <f t="shared" ref="I134:I136" si="49">LEFT(H134,3)*1</f>
        <v>242</v>
      </c>
    </row>
    <row r="135" spans="1:9" x14ac:dyDescent="0.25">
      <c r="A135" s="5">
        <v>241</v>
      </c>
      <c r="B135" s="6">
        <v>2412</v>
      </c>
      <c r="C135" s="6"/>
      <c r="D135" s="13" t="s">
        <v>174</v>
      </c>
      <c r="E135" s="13" t="str">
        <f t="shared" si="48"/>
        <v>2412 - Xây dựng cơ bản</v>
      </c>
      <c r="F135" s="8" t="str">
        <f t="shared" si="28"/>
        <v>D600</v>
      </c>
      <c r="G135" s="10" t="s">
        <v>117</v>
      </c>
      <c r="H135" s="8" t="s">
        <v>173</v>
      </c>
      <c r="I135" s="10">
        <f t="shared" si="49"/>
        <v>242</v>
      </c>
    </row>
    <row r="136" spans="1:9" x14ac:dyDescent="0.25">
      <c r="A136" s="5">
        <v>241</v>
      </c>
      <c r="B136" s="6">
        <v>2413</v>
      </c>
      <c r="C136" s="6"/>
      <c r="D136" s="13" t="s">
        <v>175</v>
      </c>
      <c r="E136" s="13" t="str">
        <f t="shared" si="48"/>
        <v>2413 - Sửa chữa lớn TSCĐ</v>
      </c>
      <c r="F136" s="8" t="str">
        <f t="shared" si="28"/>
        <v>D600</v>
      </c>
      <c r="G136" s="10" t="s">
        <v>117</v>
      </c>
      <c r="H136" s="8" t="s">
        <v>173</v>
      </c>
      <c r="I136" s="10">
        <f t="shared" si="49"/>
        <v>242</v>
      </c>
    </row>
    <row r="137" spans="1:9" x14ac:dyDescent="0.25">
      <c r="A137" s="5"/>
      <c r="B137" s="6"/>
      <c r="C137" s="6"/>
      <c r="D137" s="13"/>
      <c r="E137" s="13"/>
      <c r="F137" s="8" t="str">
        <f t="shared" si="28"/>
        <v/>
      </c>
      <c r="G137" s="10"/>
      <c r="H137" s="8"/>
      <c r="I137" s="6"/>
    </row>
    <row r="138" spans="1:9" x14ac:dyDescent="0.25">
      <c r="A138" s="5"/>
      <c r="B138" s="6"/>
      <c r="C138" s="6"/>
      <c r="D138" s="12" t="s">
        <v>176</v>
      </c>
      <c r="E138" s="13"/>
      <c r="F138" s="8"/>
      <c r="G138" s="10"/>
      <c r="H138" s="8"/>
      <c r="I138" s="6"/>
    </row>
    <row r="139" spans="1:9" x14ac:dyDescent="0.25">
      <c r="A139" s="5">
        <v>242</v>
      </c>
      <c r="B139" s="6">
        <v>2421</v>
      </c>
      <c r="C139" s="6"/>
      <c r="D139" s="13" t="s">
        <v>177</v>
      </c>
      <c r="E139" s="13" t="str">
        <f t="shared" ref="E139:E140" si="50">IF(C139="",TEXT(CONCATENATE(B139," ","-"," ",D139),1),TEXT(CONCATENATE(C139," ","-"," ",D139),1))</f>
        <v>2421 - Chi phí trả trước ngắn hạn</v>
      </c>
      <c r="F139" s="8" t="str">
        <f t="shared" si="28"/>
        <v>D500</v>
      </c>
      <c r="G139" s="10" t="s">
        <v>178</v>
      </c>
      <c r="H139" s="8" t="s">
        <v>179</v>
      </c>
      <c r="I139" s="10">
        <f t="shared" ref="I139:I140" si="51">LEFT(H139,3)*1</f>
        <v>151</v>
      </c>
    </row>
    <row r="140" spans="1:9" x14ac:dyDescent="0.25">
      <c r="A140" s="5">
        <v>242</v>
      </c>
      <c r="B140" s="6">
        <v>2422</v>
      </c>
      <c r="C140" s="6"/>
      <c r="D140" s="13" t="s">
        <v>180</v>
      </c>
      <c r="E140" s="13" t="str">
        <f t="shared" si="50"/>
        <v>2422 - Chi phí trả trước dài hạn</v>
      </c>
      <c r="F140" s="8" t="str">
        <f t="shared" si="28"/>
        <v>D500</v>
      </c>
      <c r="G140" s="10" t="s">
        <v>178</v>
      </c>
      <c r="H140" s="8" t="s">
        <v>181</v>
      </c>
      <c r="I140" s="10">
        <f t="shared" si="51"/>
        <v>261</v>
      </c>
    </row>
    <row r="141" spans="1:9" x14ac:dyDescent="0.25">
      <c r="A141" s="5"/>
      <c r="B141" s="6"/>
      <c r="C141" s="6"/>
      <c r="D141" s="13"/>
      <c r="E141" s="13"/>
      <c r="F141" s="8" t="str">
        <f t="shared" si="28"/>
        <v/>
      </c>
      <c r="G141" s="10"/>
      <c r="H141" s="8"/>
      <c r="I141" s="6"/>
    </row>
    <row r="142" spans="1:9" x14ac:dyDescent="0.25">
      <c r="A142" s="5">
        <v>243</v>
      </c>
      <c r="B142" s="6">
        <f t="shared" ref="B142" si="52">A142</f>
        <v>243</v>
      </c>
      <c r="C142" s="6"/>
      <c r="D142" s="13" t="s">
        <v>182</v>
      </c>
      <c r="E142" s="13" t="str">
        <f t="shared" ref="E142" si="53">IF(C142="",TEXT(CONCATENATE(B142," ","-"," ",D142),1),TEXT(CONCATENATE(C142," ","-"," ",D142),1))</f>
        <v>243 - Tài sản thuế thu nhập hoãn lại</v>
      </c>
      <c r="F142" s="8" t="str">
        <f t="shared" si="28"/>
        <v>E300</v>
      </c>
      <c r="G142" s="10" t="s">
        <v>55</v>
      </c>
      <c r="H142" s="8" t="s">
        <v>183</v>
      </c>
      <c r="I142" s="10">
        <f>LEFT(H142,3)*1</f>
        <v>262</v>
      </c>
    </row>
    <row r="143" spans="1:9" x14ac:dyDescent="0.25">
      <c r="A143" s="5"/>
      <c r="B143" s="6"/>
      <c r="C143" s="6"/>
      <c r="D143" s="13"/>
      <c r="E143" s="13"/>
      <c r="F143" s="8"/>
      <c r="G143" s="10"/>
      <c r="H143" s="8"/>
      <c r="I143" s="6"/>
    </row>
    <row r="144" spans="1:9" x14ac:dyDescent="0.25">
      <c r="A144" s="5"/>
      <c r="B144" s="6"/>
      <c r="C144" s="6"/>
      <c r="D144" s="12" t="s">
        <v>184</v>
      </c>
      <c r="E144" s="13"/>
      <c r="F144" s="8"/>
      <c r="G144" s="10"/>
      <c r="H144" s="8"/>
      <c r="I144" s="6"/>
    </row>
    <row r="145" spans="1:9" x14ac:dyDescent="0.25">
      <c r="A145" s="5">
        <v>244</v>
      </c>
      <c r="B145" s="6">
        <v>2441</v>
      </c>
      <c r="C145" s="6"/>
      <c r="D145" s="13" t="s">
        <v>185</v>
      </c>
      <c r="E145" s="13" t="str">
        <f t="shared" ref="E145:E146" si="54">IF(C145="",TEXT(CONCATENATE(B145," ","-"," ",D145),1),TEXT(CONCATENATE(C145," ","-"," ",D145),1))</f>
        <v>2441 - Cầm cố, thế chấp, ký quỹ, ký cược (ngắn hạn)</v>
      </c>
      <c r="F145" s="8" t="str">
        <f t="shared" si="28"/>
        <v>D800</v>
      </c>
      <c r="G145" s="10" t="s">
        <v>70</v>
      </c>
      <c r="H145" s="8" t="s">
        <v>73</v>
      </c>
      <c r="I145" s="10">
        <f t="shared" ref="I145:I146" si="55">LEFT(H145,3)*1</f>
        <v>136</v>
      </c>
    </row>
    <row r="146" spans="1:9" x14ac:dyDescent="0.25">
      <c r="A146" s="5">
        <v>244</v>
      </c>
      <c r="B146" s="6">
        <v>2442</v>
      </c>
      <c r="C146" s="6"/>
      <c r="D146" s="13" t="s">
        <v>186</v>
      </c>
      <c r="E146" s="13" t="str">
        <f t="shared" si="54"/>
        <v>2442 - Cầm cố, thế chấp, ký quỹ, ký cược (dài hạn)</v>
      </c>
      <c r="F146" s="8" t="str">
        <f t="shared" si="28"/>
        <v>D800</v>
      </c>
      <c r="G146" s="10" t="s">
        <v>70</v>
      </c>
      <c r="H146" s="8" t="s">
        <v>79</v>
      </c>
      <c r="I146" s="10">
        <f t="shared" si="55"/>
        <v>216</v>
      </c>
    </row>
    <row r="147" spans="1:9" x14ac:dyDescent="0.25">
      <c r="A147" s="5"/>
      <c r="B147" s="6"/>
      <c r="C147" s="6"/>
      <c r="D147" s="11"/>
      <c r="E147" s="11"/>
      <c r="F147" s="8" t="str">
        <f t="shared" ref="F147:F212" si="56">LEFT(G147,4)</f>
        <v/>
      </c>
      <c r="G147" s="10"/>
      <c r="H147" s="8"/>
      <c r="I147" s="6"/>
    </row>
    <row r="148" spans="1:9" x14ac:dyDescent="0.25">
      <c r="A148" s="5"/>
      <c r="B148" s="6"/>
      <c r="C148" s="6"/>
      <c r="D148" s="9" t="s">
        <v>187</v>
      </c>
      <c r="E148" s="7"/>
      <c r="F148" s="8" t="str">
        <f t="shared" si="56"/>
        <v/>
      </c>
      <c r="G148" s="10"/>
      <c r="H148" s="8"/>
      <c r="I148" s="6"/>
    </row>
    <row r="149" spans="1:9" x14ac:dyDescent="0.25">
      <c r="A149" s="5"/>
      <c r="B149" s="6"/>
      <c r="C149" s="6"/>
      <c r="D149" s="11"/>
      <c r="E149" s="11"/>
      <c r="F149" s="8" t="str">
        <f t="shared" si="56"/>
        <v/>
      </c>
      <c r="G149" s="10"/>
      <c r="H149" s="8"/>
      <c r="I149" s="6"/>
    </row>
    <row r="150" spans="1:9" x14ac:dyDescent="0.25">
      <c r="A150" s="5">
        <v>331</v>
      </c>
      <c r="B150" s="6">
        <v>3311</v>
      </c>
      <c r="C150" s="6">
        <v>3311</v>
      </c>
      <c r="D150" s="13" t="s">
        <v>188</v>
      </c>
      <c r="E150" s="13" t="str">
        <f t="shared" ref="E150:E153" si="57">IF(C150="",TEXT(CONCATENATE(B150," ","-"," ",D150),1),TEXT(CONCATENATE(C150," ","-"," ",D150),1))</f>
        <v>3311 - Phải trả cho người bán</v>
      </c>
      <c r="F150" s="8" t="str">
        <f t="shared" si="56"/>
        <v>E200</v>
      </c>
      <c r="G150" s="10" t="s">
        <v>189</v>
      </c>
      <c r="H150" s="8" t="s">
        <v>190</v>
      </c>
      <c r="I150" s="10">
        <f t="shared" ref="I150:I153" si="58">LEFT(H150,3)*1</f>
        <v>311</v>
      </c>
    </row>
    <row r="151" spans="1:9" x14ac:dyDescent="0.25">
      <c r="A151" s="5">
        <v>331</v>
      </c>
      <c r="B151" s="6">
        <v>3311</v>
      </c>
      <c r="C151" s="6" t="s">
        <v>191</v>
      </c>
      <c r="D151" s="13" t="s">
        <v>192</v>
      </c>
      <c r="E151" s="13" t="str">
        <f t="shared" si="57"/>
        <v>3311x - Trả trước cho người bán (ngắn hạn - N331)</v>
      </c>
      <c r="F151" s="8" t="str">
        <f t="shared" si="56"/>
        <v>E200</v>
      </c>
      <c r="G151" s="10" t="s">
        <v>189</v>
      </c>
      <c r="H151" s="8" t="s">
        <v>193</v>
      </c>
      <c r="I151" s="10">
        <f t="shared" si="58"/>
        <v>132</v>
      </c>
    </row>
    <row r="152" spans="1:9" x14ac:dyDescent="0.25">
      <c r="A152" s="5">
        <v>331</v>
      </c>
      <c r="B152" s="6">
        <v>3312</v>
      </c>
      <c r="C152" s="6">
        <v>3312</v>
      </c>
      <c r="D152" s="13" t="s">
        <v>194</v>
      </c>
      <c r="E152" s="13" t="str">
        <f t="shared" si="57"/>
        <v>3312 - Phải trả dài hạn cho người bán</v>
      </c>
      <c r="F152" s="8" t="str">
        <f t="shared" si="56"/>
        <v>E200</v>
      </c>
      <c r="G152" s="10" t="s">
        <v>189</v>
      </c>
      <c r="H152" s="8" t="s">
        <v>195</v>
      </c>
      <c r="I152" s="10">
        <f t="shared" si="58"/>
        <v>331</v>
      </c>
    </row>
    <row r="153" spans="1:9" x14ac:dyDescent="0.25">
      <c r="A153" s="5">
        <v>331</v>
      </c>
      <c r="B153" s="6">
        <v>3312</v>
      </c>
      <c r="C153" s="6" t="s">
        <v>196</v>
      </c>
      <c r="D153" s="13" t="s">
        <v>197</v>
      </c>
      <c r="E153" s="13" t="str">
        <f t="shared" si="57"/>
        <v xml:space="preserve">3312x - Trả trước cho người bán (dài hạn - N331)  </v>
      </c>
      <c r="F153" s="8" t="str">
        <f t="shared" si="56"/>
        <v>E200</v>
      </c>
      <c r="G153" s="10" t="s">
        <v>189</v>
      </c>
      <c r="H153" s="8" t="s">
        <v>198</v>
      </c>
      <c r="I153" s="10">
        <f t="shared" si="58"/>
        <v>212</v>
      </c>
    </row>
    <row r="154" spans="1:9" x14ac:dyDescent="0.25">
      <c r="A154" s="10"/>
      <c r="B154" s="6"/>
      <c r="C154" s="6"/>
      <c r="D154" s="13"/>
      <c r="E154" s="13"/>
      <c r="F154" s="8" t="str">
        <f t="shared" si="56"/>
        <v/>
      </c>
      <c r="G154" s="10"/>
      <c r="H154" s="8"/>
      <c r="I154" s="6"/>
    </row>
    <row r="155" spans="1:9" x14ac:dyDescent="0.25">
      <c r="A155" s="5"/>
      <c r="B155" s="6"/>
      <c r="C155" s="6"/>
      <c r="D155" s="12" t="s">
        <v>199</v>
      </c>
      <c r="E155" s="13"/>
      <c r="F155" s="8" t="str">
        <f t="shared" si="56"/>
        <v/>
      </c>
      <c r="G155" s="10"/>
      <c r="H155" s="8"/>
      <c r="I155" s="6"/>
    </row>
    <row r="156" spans="1:9" x14ac:dyDescent="0.25">
      <c r="A156" s="5">
        <v>333</v>
      </c>
      <c r="B156" s="6">
        <v>3331</v>
      </c>
      <c r="C156" s="18">
        <v>33311</v>
      </c>
      <c r="D156" s="19" t="s">
        <v>200</v>
      </c>
      <c r="E156" s="13" t="str">
        <f t="shared" ref="E156:E167" si="59">IF(C156="",TEXT(CONCATENATE(B156," ","-"," ",D156),1),TEXT(CONCATENATE(C156," ","-"," ",D156),1))</f>
        <v>33311 - Thuế GTGT đầu ra</v>
      </c>
      <c r="F156" s="8" t="str">
        <f t="shared" si="56"/>
        <v>E300</v>
      </c>
      <c r="G156" s="10" t="s">
        <v>55</v>
      </c>
      <c r="H156" s="8" t="s">
        <v>201</v>
      </c>
      <c r="I156" s="10">
        <f t="shared" ref="I156:I167" si="60">LEFT(H156,3)*1</f>
        <v>313</v>
      </c>
    </row>
    <row r="157" spans="1:9" x14ac:dyDescent="0.25">
      <c r="A157" s="5">
        <v>333</v>
      </c>
      <c r="B157" s="6">
        <v>3331</v>
      </c>
      <c r="C157" s="18">
        <v>33312</v>
      </c>
      <c r="D157" s="19" t="s">
        <v>202</v>
      </c>
      <c r="E157" s="13" t="str">
        <f t="shared" si="59"/>
        <v>33312 - Thuế GTGT hàng nhập khẩu</v>
      </c>
      <c r="F157" s="8" t="str">
        <f t="shared" si="56"/>
        <v>E300</v>
      </c>
      <c r="G157" s="10" t="s">
        <v>55</v>
      </c>
      <c r="H157" s="8" t="s">
        <v>201</v>
      </c>
      <c r="I157" s="10">
        <f t="shared" si="60"/>
        <v>313</v>
      </c>
    </row>
    <row r="158" spans="1:9" x14ac:dyDescent="0.25">
      <c r="A158" s="5">
        <v>333</v>
      </c>
      <c r="B158" s="6">
        <v>3332</v>
      </c>
      <c r="C158" s="6"/>
      <c r="D158" s="13" t="s">
        <v>203</v>
      </c>
      <c r="E158" s="13" t="str">
        <f t="shared" si="59"/>
        <v xml:space="preserve">3332 - Thuế tiêu thụ đặc biệt </v>
      </c>
      <c r="F158" s="8" t="str">
        <f t="shared" si="56"/>
        <v>E300</v>
      </c>
      <c r="G158" s="10" t="s">
        <v>55</v>
      </c>
      <c r="H158" s="8" t="s">
        <v>201</v>
      </c>
      <c r="I158" s="10">
        <f t="shared" si="60"/>
        <v>313</v>
      </c>
    </row>
    <row r="159" spans="1:9" x14ac:dyDescent="0.25">
      <c r="A159" s="5">
        <v>333</v>
      </c>
      <c r="B159" s="6">
        <v>3333</v>
      </c>
      <c r="C159" s="6"/>
      <c r="D159" s="13" t="s">
        <v>204</v>
      </c>
      <c r="E159" s="13" t="str">
        <f t="shared" si="59"/>
        <v>3333 - Thuế xuất, nhập khẩu</v>
      </c>
      <c r="F159" s="8" t="str">
        <f t="shared" si="56"/>
        <v>E300</v>
      </c>
      <c r="G159" s="10" t="s">
        <v>55</v>
      </c>
      <c r="H159" s="8" t="s">
        <v>201</v>
      </c>
      <c r="I159" s="10">
        <f t="shared" si="60"/>
        <v>313</v>
      </c>
    </row>
    <row r="160" spans="1:9" x14ac:dyDescent="0.25">
      <c r="A160" s="5">
        <v>333</v>
      </c>
      <c r="B160" s="6">
        <v>3334</v>
      </c>
      <c r="C160" s="6"/>
      <c r="D160" s="13" t="s">
        <v>205</v>
      </c>
      <c r="E160" s="13" t="str">
        <f t="shared" si="59"/>
        <v xml:space="preserve">3334 - Thuế thu nhập doanh nghiệp </v>
      </c>
      <c r="F160" s="8" t="str">
        <f t="shared" si="56"/>
        <v>E300</v>
      </c>
      <c r="G160" s="10" t="s">
        <v>55</v>
      </c>
      <c r="H160" s="8" t="s">
        <v>201</v>
      </c>
      <c r="I160" s="10">
        <f t="shared" si="60"/>
        <v>313</v>
      </c>
    </row>
    <row r="161" spans="1:9" x14ac:dyDescent="0.25">
      <c r="A161" s="5">
        <v>333</v>
      </c>
      <c r="B161" s="6">
        <v>3335</v>
      </c>
      <c r="C161" s="6"/>
      <c r="D161" s="13" t="s">
        <v>206</v>
      </c>
      <c r="E161" s="13" t="str">
        <f t="shared" si="59"/>
        <v>3335 - Thuế thu nhập cá nhân</v>
      </c>
      <c r="F161" s="8" t="str">
        <f t="shared" si="56"/>
        <v>E300</v>
      </c>
      <c r="G161" s="10" t="s">
        <v>55</v>
      </c>
      <c r="H161" s="8" t="s">
        <v>201</v>
      </c>
      <c r="I161" s="10">
        <f t="shared" si="60"/>
        <v>313</v>
      </c>
    </row>
    <row r="162" spans="1:9" x14ac:dyDescent="0.25">
      <c r="A162" s="5">
        <v>333</v>
      </c>
      <c r="B162" s="6">
        <v>3336</v>
      </c>
      <c r="C162" s="6"/>
      <c r="D162" s="13" t="s">
        <v>207</v>
      </c>
      <c r="E162" s="13" t="str">
        <f t="shared" si="59"/>
        <v>3336 - Thuế tài nguyên</v>
      </c>
      <c r="F162" s="8" t="str">
        <f t="shared" si="56"/>
        <v>E300</v>
      </c>
      <c r="G162" s="10" t="s">
        <v>55</v>
      </c>
      <c r="H162" s="8" t="s">
        <v>201</v>
      </c>
      <c r="I162" s="10">
        <f t="shared" si="60"/>
        <v>313</v>
      </c>
    </row>
    <row r="163" spans="1:9" x14ac:dyDescent="0.25">
      <c r="A163" s="5">
        <v>333</v>
      </c>
      <c r="B163" s="6">
        <v>3337</v>
      </c>
      <c r="C163" s="6"/>
      <c r="D163" s="13" t="s">
        <v>208</v>
      </c>
      <c r="E163" s="13" t="str">
        <f t="shared" si="59"/>
        <v>3337 - Thuế nhà đất, tiền thuê đất</v>
      </c>
      <c r="F163" s="8" t="str">
        <f t="shared" si="56"/>
        <v>E300</v>
      </c>
      <c r="G163" s="10" t="s">
        <v>55</v>
      </c>
      <c r="H163" s="8" t="s">
        <v>201</v>
      </c>
      <c r="I163" s="10">
        <f t="shared" si="60"/>
        <v>313</v>
      </c>
    </row>
    <row r="164" spans="1:9" x14ac:dyDescent="0.25">
      <c r="A164" s="5">
        <v>333</v>
      </c>
      <c r="B164" s="6">
        <v>3338</v>
      </c>
      <c r="C164" s="18">
        <v>33381</v>
      </c>
      <c r="D164" s="19" t="s">
        <v>209</v>
      </c>
      <c r="E164" s="13" t="str">
        <f t="shared" si="59"/>
        <v>33381 - Thuế bảo vệ môi trường</v>
      </c>
      <c r="F164" s="8" t="str">
        <f t="shared" si="56"/>
        <v>E300</v>
      </c>
      <c r="G164" s="20" t="s">
        <v>55</v>
      </c>
      <c r="H164" s="21" t="s">
        <v>201</v>
      </c>
      <c r="I164" s="10">
        <f t="shared" si="60"/>
        <v>313</v>
      </c>
    </row>
    <row r="165" spans="1:9" x14ac:dyDescent="0.25">
      <c r="A165" s="5">
        <v>333</v>
      </c>
      <c r="B165" s="6">
        <v>3338</v>
      </c>
      <c r="C165" s="18">
        <v>33382</v>
      </c>
      <c r="D165" s="19" t="s">
        <v>210</v>
      </c>
      <c r="E165" s="13" t="str">
        <f t="shared" si="59"/>
        <v>33382 - Các loại thuế khác</v>
      </c>
      <c r="F165" s="8" t="str">
        <f t="shared" si="56"/>
        <v>E300</v>
      </c>
      <c r="G165" s="20" t="s">
        <v>55</v>
      </c>
      <c r="H165" s="21" t="s">
        <v>201</v>
      </c>
      <c r="I165" s="10">
        <f t="shared" si="60"/>
        <v>313</v>
      </c>
    </row>
    <row r="166" spans="1:9" x14ac:dyDescent="0.25">
      <c r="A166" s="5">
        <v>333</v>
      </c>
      <c r="B166" s="6">
        <v>3339</v>
      </c>
      <c r="C166" s="6"/>
      <c r="D166" s="13" t="s">
        <v>211</v>
      </c>
      <c r="E166" s="13" t="str">
        <f t="shared" si="59"/>
        <v>3339 - Phí, lệ phí và các khoản phải nộp khác</v>
      </c>
      <c r="F166" s="8" t="str">
        <f t="shared" si="56"/>
        <v>E300</v>
      </c>
      <c r="G166" s="10" t="s">
        <v>55</v>
      </c>
      <c r="H166" s="8" t="s">
        <v>201</v>
      </c>
      <c r="I166" s="10">
        <f t="shared" si="60"/>
        <v>313</v>
      </c>
    </row>
    <row r="167" spans="1:9" x14ac:dyDescent="0.25">
      <c r="A167" s="5">
        <v>333</v>
      </c>
      <c r="B167" s="6" t="s">
        <v>212</v>
      </c>
      <c r="C167" s="6"/>
      <c r="D167" s="13" t="s">
        <v>213</v>
      </c>
      <c r="E167" s="13" t="str">
        <f t="shared" si="59"/>
        <v>333x - Dư Nợ TK 333 (Thuế và các khoản phải thu nhà nước)</v>
      </c>
      <c r="F167" s="8" t="str">
        <f t="shared" si="56"/>
        <v>E300</v>
      </c>
      <c r="G167" s="10" t="s">
        <v>55</v>
      </c>
      <c r="H167" s="8" t="s">
        <v>214</v>
      </c>
      <c r="I167" s="10">
        <f t="shared" si="60"/>
        <v>153</v>
      </c>
    </row>
    <row r="168" spans="1:9" x14ac:dyDescent="0.25">
      <c r="A168" s="5"/>
      <c r="B168" s="6"/>
      <c r="C168" s="6"/>
      <c r="D168" s="13"/>
      <c r="E168" s="13"/>
      <c r="F168" s="8" t="str">
        <f t="shared" si="56"/>
        <v/>
      </c>
      <c r="G168" s="10"/>
      <c r="H168" s="8"/>
      <c r="I168" s="6"/>
    </row>
    <row r="169" spans="1:9" x14ac:dyDescent="0.25">
      <c r="A169" s="5"/>
      <c r="B169" s="6"/>
      <c r="C169" s="6"/>
      <c r="D169" s="12" t="s">
        <v>215</v>
      </c>
      <c r="E169" s="13"/>
      <c r="F169" s="8" t="str">
        <f t="shared" si="56"/>
        <v/>
      </c>
      <c r="G169" s="10"/>
      <c r="H169" s="8"/>
      <c r="I169" s="6"/>
    </row>
    <row r="170" spans="1:9" x14ac:dyDescent="0.25">
      <c r="A170" s="5">
        <v>334</v>
      </c>
      <c r="B170" s="6">
        <v>3341</v>
      </c>
      <c r="C170" s="6"/>
      <c r="D170" s="13" t="s">
        <v>216</v>
      </c>
      <c r="E170" s="13" t="str">
        <f t="shared" ref="E170:E173" si="61">IF(C170="",TEXT(CONCATENATE(B170," ","-"," ",D170),1),TEXT(CONCATENATE(C170," ","-"," ",D170),1))</f>
        <v>3341 - Phải trả công nhân viên</v>
      </c>
      <c r="F170" s="8" t="str">
        <f t="shared" si="56"/>
        <v>E400</v>
      </c>
      <c r="G170" s="10" t="s">
        <v>217</v>
      </c>
      <c r="H170" s="8" t="s">
        <v>218</v>
      </c>
      <c r="I170" s="10">
        <f t="shared" ref="I170:I173" si="62">LEFT(H170,3)*1</f>
        <v>314</v>
      </c>
    </row>
    <row r="171" spans="1:9" x14ac:dyDescent="0.25">
      <c r="A171" s="5">
        <v>334</v>
      </c>
      <c r="B171" s="6">
        <v>3348</v>
      </c>
      <c r="C171" s="6"/>
      <c r="D171" s="13" t="s">
        <v>219</v>
      </c>
      <c r="E171" s="13" t="str">
        <f t="shared" si="61"/>
        <v>3348 - Phải trả người lao động khác</v>
      </c>
      <c r="F171" s="8" t="str">
        <f t="shared" si="56"/>
        <v>E400</v>
      </c>
      <c r="G171" s="10" t="s">
        <v>217</v>
      </c>
      <c r="H171" s="8" t="s">
        <v>218</v>
      </c>
      <c r="I171" s="10">
        <f t="shared" si="62"/>
        <v>314</v>
      </c>
    </row>
    <row r="172" spans="1:9" x14ac:dyDescent="0.25">
      <c r="A172" s="5">
        <v>334</v>
      </c>
      <c r="B172" s="6" t="s">
        <v>220</v>
      </c>
      <c r="C172" s="6" t="s">
        <v>220</v>
      </c>
      <c r="D172" s="13" t="s">
        <v>221</v>
      </c>
      <c r="E172" s="13" t="str">
        <f t="shared" si="61"/>
        <v>334x - Dư nợ TK 334</v>
      </c>
      <c r="F172" s="8" t="str">
        <f t="shared" si="56"/>
        <v>E400</v>
      </c>
      <c r="G172" s="10" t="s">
        <v>217</v>
      </c>
      <c r="H172" s="8" t="s">
        <v>73</v>
      </c>
      <c r="I172" s="10">
        <f t="shared" si="62"/>
        <v>136</v>
      </c>
    </row>
    <row r="173" spans="1:9" x14ac:dyDescent="0.25">
      <c r="A173" s="5">
        <v>334</v>
      </c>
      <c r="B173" s="6" t="s">
        <v>220</v>
      </c>
      <c r="C173" s="6" t="s">
        <v>222</v>
      </c>
      <c r="D173" s="13" t="s">
        <v>223</v>
      </c>
      <c r="E173" s="13" t="str">
        <f t="shared" si="61"/>
        <v>334ax - Dư nợ TK 334 - dài hạn</v>
      </c>
      <c r="F173" s="8" t="str">
        <f t="shared" si="56"/>
        <v>E400</v>
      </c>
      <c r="G173" s="10" t="s">
        <v>217</v>
      </c>
      <c r="H173" s="8" t="s">
        <v>79</v>
      </c>
      <c r="I173" s="10">
        <f t="shared" si="62"/>
        <v>216</v>
      </c>
    </row>
    <row r="174" spans="1:9" x14ac:dyDescent="0.25">
      <c r="A174" s="5"/>
      <c r="B174" s="6"/>
      <c r="C174" s="6"/>
      <c r="D174" s="13"/>
      <c r="E174" s="13"/>
      <c r="F174" s="8" t="str">
        <f t="shared" si="56"/>
        <v/>
      </c>
      <c r="G174" s="10"/>
      <c r="H174" s="8"/>
      <c r="I174" s="6"/>
    </row>
    <row r="175" spans="1:9" x14ac:dyDescent="0.25">
      <c r="A175" s="5">
        <v>335</v>
      </c>
      <c r="B175" s="6">
        <f t="shared" ref="B175" si="63">A175</f>
        <v>335</v>
      </c>
      <c r="C175" s="6"/>
      <c r="D175" s="13" t="s">
        <v>224</v>
      </c>
      <c r="E175" s="13" t="str">
        <f t="shared" ref="E175:E176" si="64">IF(C175="",TEXT(CONCATENATE(B175," ","-"," ",D175),1),TEXT(CONCATENATE(C175," ","-"," ",D175),1))</f>
        <v>335 - Chi phí phải trả</v>
      </c>
      <c r="F175" s="8" t="str">
        <f t="shared" si="56"/>
        <v>E500</v>
      </c>
      <c r="G175" s="10" t="s">
        <v>225</v>
      </c>
      <c r="H175" s="8" t="s">
        <v>226</v>
      </c>
      <c r="I175" s="10">
        <f t="shared" ref="I175:I176" si="65">LEFT(H175,3)*1</f>
        <v>315</v>
      </c>
    </row>
    <row r="176" spans="1:9" x14ac:dyDescent="0.25">
      <c r="A176" s="5">
        <v>335</v>
      </c>
      <c r="B176" s="6" t="s">
        <v>227</v>
      </c>
      <c r="C176" s="6"/>
      <c r="D176" s="13" t="s">
        <v>228</v>
      </c>
      <c r="E176" s="13" t="str">
        <f t="shared" si="64"/>
        <v>335a - Chi phí phải trả dài hạn</v>
      </c>
      <c r="F176" s="8" t="str">
        <f t="shared" si="56"/>
        <v>E500</v>
      </c>
      <c r="G176" s="10" t="s">
        <v>225</v>
      </c>
      <c r="H176" s="8" t="s">
        <v>229</v>
      </c>
      <c r="I176" s="10">
        <f t="shared" si="65"/>
        <v>333</v>
      </c>
    </row>
    <row r="177" spans="1:9" x14ac:dyDescent="0.25">
      <c r="A177" s="5"/>
      <c r="B177" s="6"/>
      <c r="C177" s="6"/>
      <c r="D177" s="13"/>
      <c r="E177" s="13"/>
      <c r="F177" s="8"/>
      <c r="G177" s="10"/>
      <c r="H177" s="8"/>
      <c r="I177" s="6"/>
    </row>
    <row r="178" spans="1:9" x14ac:dyDescent="0.25">
      <c r="A178" s="5"/>
      <c r="B178" s="6"/>
      <c r="C178" s="6"/>
      <c r="D178" s="12" t="s">
        <v>230</v>
      </c>
      <c r="E178" s="13"/>
      <c r="F178" s="8"/>
      <c r="G178" s="10"/>
      <c r="H178" s="8"/>
      <c r="I178" s="6"/>
    </row>
    <row r="179" spans="1:9" x14ac:dyDescent="0.25">
      <c r="A179" s="5">
        <v>336</v>
      </c>
      <c r="B179" s="6">
        <v>3361</v>
      </c>
      <c r="C179" s="6"/>
      <c r="D179" s="13" t="s">
        <v>231</v>
      </c>
      <c r="E179" s="13" t="str">
        <f t="shared" ref="E179:E183" si="66">IF(C179="",TEXT(CONCATENATE(B179," ","-"," ",D179),1),TEXT(CONCATENATE(C179," ","-"," ",D179),1))</f>
        <v>3361 - Phải trả nội bộ về vốn kinh doanh</v>
      </c>
      <c r="F179" s="8" t="str">
        <f t="shared" si="56"/>
        <v>E200</v>
      </c>
      <c r="G179" s="10" t="s">
        <v>189</v>
      </c>
      <c r="H179" s="8" t="s">
        <v>232</v>
      </c>
      <c r="I179" s="10">
        <f t="shared" ref="I179:I183" si="67">LEFT(H179,3)*1</f>
        <v>334</v>
      </c>
    </row>
    <row r="180" spans="1:9" x14ac:dyDescent="0.25">
      <c r="A180" s="5">
        <v>336</v>
      </c>
      <c r="B180" s="6">
        <v>3362</v>
      </c>
      <c r="C180" s="6"/>
      <c r="D180" s="13" t="s">
        <v>233</v>
      </c>
      <c r="E180" s="13" t="str">
        <f t="shared" si="66"/>
        <v>3362 - Phải trả nội bộ về chênh lệch tỷ giá</v>
      </c>
      <c r="F180" s="8" t="str">
        <f t="shared" si="56"/>
        <v>E200</v>
      </c>
      <c r="G180" s="10" t="s">
        <v>189</v>
      </c>
      <c r="H180" s="8" t="s">
        <v>234</v>
      </c>
      <c r="I180" s="10">
        <f t="shared" si="67"/>
        <v>316</v>
      </c>
    </row>
    <row r="181" spans="1:9" x14ac:dyDescent="0.25">
      <c r="A181" s="5">
        <v>336</v>
      </c>
      <c r="B181" s="6">
        <v>3363</v>
      </c>
      <c r="C181" s="6"/>
      <c r="D181" s="13" t="s">
        <v>235</v>
      </c>
      <c r="E181" s="13" t="str">
        <f t="shared" si="66"/>
        <v>3363 - Phải trả nội bộ về chi phí đi vay đủ điều kiện được vốn hoá</v>
      </c>
      <c r="F181" s="8" t="str">
        <f t="shared" si="56"/>
        <v>E200</v>
      </c>
      <c r="G181" s="10" t="s">
        <v>189</v>
      </c>
      <c r="H181" s="8" t="s">
        <v>234</v>
      </c>
      <c r="I181" s="10">
        <f t="shared" si="67"/>
        <v>316</v>
      </c>
    </row>
    <row r="182" spans="1:9" x14ac:dyDescent="0.25">
      <c r="A182" s="5">
        <v>336</v>
      </c>
      <c r="B182" s="6">
        <v>3368</v>
      </c>
      <c r="C182" s="6">
        <v>3368</v>
      </c>
      <c r="D182" s="13" t="s">
        <v>236</v>
      </c>
      <c r="E182" s="13" t="str">
        <f t="shared" si="66"/>
        <v>3368 - Phải trả nội bộ khác</v>
      </c>
      <c r="F182" s="8" t="str">
        <f t="shared" si="56"/>
        <v>E200</v>
      </c>
      <c r="G182" s="10" t="s">
        <v>189</v>
      </c>
      <c r="H182" s="8" t="s">
        <v>234</v>
      </c>
      <c r="I182" s="10">
        <f t="shared" si="67"/>
        <v>316</v>
      </c>
    </row>
    <row r="183" spans="1:9" x14ac:dyDescent="0.25">
      <c r="A183" s="5">
        <v>336</v>
      </c>
      <c r="B183" s="6">
        <v>3368</v>
      </c>
      <c r="C183" s="6" t="s">
        <v>237</v>
      </c>
      <c r="D183" s="13" t="s">
        <v>238</v>
      </c>
      <c r="E183" s="13" t="str">
        <f t="shared" si="66"/>
        <v>3368a - Phải trả nội bộ khác - dài hạn</v>
      </c>
      <c r="F183" s="8" t="str">
        <f t="shared" si="56"/>
        <v>E200</v>
      </c>
      <c r="G183" s="10" t="s">
        <v>189</v>
      </c>
      <c r="H183" s="8" t="s">
        <v>239</v>
      </c>
      <c r="I183" s="10">
        <f t="shared" si="67"/>
        <v>335</v>
      </c>
    </row>
    <row r="184" spans="1:9" x14ac:dyDescent="0.25">
      <c r="A184" s="5"/>
      <c r="B184" s="6"/>
      <c r="C184" s="6"/>
      <c r="D184" s="13"/>
      <c r="E184" s="13"/>
      <c r="F184" s="8" t="str">
        <f t="shared" si="56"/>
        <v/>
      </c>
      <c r="G184" s="10"/>
      <c r="H184" s="8"/>
      <c r="I184" s="6"/>
    </row>
    <row r="185" spans="1:9" x14ac:dyDescent="0.25">
      <c r="A185" s="5">
        <v>337</v>
      </c>
      <c r="B185" s="6">
        <f>A185</f>
        <v>337</v>
      </c>
      <c r="C185" s="6"/>
      <c r="D185" s="13" t="s">
        <v>240</v>
      </c>
      <c r="E185" s="13" t="str">
        <f t="shared" ref="E185:E186" si="68">IF(C185="",TEXT(CONCATENATE(B185," ","-"," ",D185),1),TEXT(CONCATENATE(C185," ","-"," ",D185),1))</f>
        <v>337 - Thanh toán theo tiến độ kế hoạch hợp đồng xây dựng</v>
      </c>
      <c r="F185" s="8" t="str">
        <f t="shared" si="56"/>
        <v>E200</v>
      </c>
      <c r="G185" s="10" t="s">
        <v>189</v>
      </c>
      <c r="H185" s="8" t="s">
        <v>241</v>
      </c>
      <c r="I185" s="10">
        <f t="shared" ref="I185:I186" si="69">LEFT(H185,3)*1</f>
        <v>317</v>
      </c>
    </row>
    <row r="186" spans="1:9" x14ac:dyDescent="0.25">
      <c r="A186" s="5">
        <v>337</v>
      </c>
      <c r="B186" s="6" t="s">
        <v>242</v>
      </c>
      <c r="C186" s="6"/>
      <c r="D186" s="13" t="s">
        <v>243</v>
      </c>
      <c r="E186" s="13" t="str">
        <f t="shared" si="68"/>
        <v>337x - Bên Nợ TK 337 (Phải thu theo tiến độ kế hoạch hợp đồng xây dựng)</v>
      </c>
      <c r="F186" s="8" t="str">
        <f t="shared" si="56"/>
        <v>D300</v>
      </c>
      <c r="G186" s="10" t="s">
        <v>43</v>
      </c>
      <c r="H186" s="8" t="s">
        <v>244</v>
      </c>
      <c r="I186" s="10">
        <f t="shared" si="69"/>
        <v>134</v>
      </c>
    </row>
    <row r="187" spans="1:9" x14ac:dyDescent="0.25">
      <c r="A187" s="5"/>
      <c r="B187" s="6"/>
      <c r="C187" s="6"/>
      <c r="D187" s="13"/>
      <c r="E187" s="13"/>
      <c r="F187" s="8" t="str">
        <f t="shared" si="56"/>
        <v/>
      </c>
      <c r="G187" s="10"/>
      <c r="H187" s="8"/>
      <c r="I187" s="6"/>
    </row>
    <row r="188" spans="1:9" x14ac:dyDescent="0.25">
      <c r="A188" s="5"/>
      <c r="B188" s="6"/>
      <c r="C188" s="6"/>
      <c r="D188" s="12" t="s">
        <v>245</v>
      </c>
      <c r="E188" s="13"/>
      <c r="F188" s="8" t="str">
        <f t="shared" si="56"/>
        <v/>
      </c>
      <c r="G188" s="10"/>
      <c r="H188" s="8"/>
      <c r="I188" s="6"/>
    </row>
    <row r="189" spans="1:9" x14ac:dyDescent="0.25">
      <c r="A189" s="5">
        <v>338</v>
      </c>
      <c r="B189" s="6">
        <v>3381</v>
      </c>
      <c r="C189" s="6"/>
      <c r="D189" s="13" t="s">
        <v>246</v>
      </c>
      <c r="E189" s="13" t="str">
        <f t="shared" ref="E189:E200" si="70">IF(C189="",TEXT(CONCATENATE(B189," ","-"," ",D189),1),TEXT(CONCATENATE(C189," ","-"," ",D189),1))</f>
        <v>3381 - Tài sản thừa chờ giải quyết</v>
      </c>
      <c r="F189" s="8" t="str">
        <f t="shared" si="56"/>
        <v>E600</v>
      </c>
      <c r="G189" s="10" t="s">
        <v>247</v>
      </c>
      <c r="H189" s="8" t="s">
        <v>76</v>
      </c>
      <c r="I189" s="10">
        <f t="shared" ref="I189:I200" si="71">LEFT(H189,3)*1</f>
        <v>319</v>
      </c>
    </row>
    <row r="190" spans="1:9" x14ac:dyDescent="0.25">
      <c r="A190" s="5">
        <v>338</v>
      </c>
      <c r="B190" s="6">
        <v>3382</v>
      </c>
      <c r="C190" s="6"/>
      <c r="D190" s="13" t="s">
        <v>248</v>
      </c>
      <c r="E190" s="13" t="str">
        <f t="shared" si="70"/>
        <v>3382 - Kinh phí công đoàn</v>
      </c>
      <c r="F190" s="8" t="str">
        <f t="shared" si="56"/>
        <v>E600</v>
      </c>
      <c r="G190" s="10" t="s">
        <v>247</v>
      </c>
      <c r="H190" s="8" t="s">
        <v>76</v>
      </c>
      <c r="I190" s="10">
        <f t="shared" si="71"/>
        <v>319</v>
      </c>
    </row>
    <row r="191" spans="1:9" x14ac:dyDescent="0.25">
      <c r="A191" s="5">
        <v>338</v>
      </c>
      <c r="B191" s="6">
        <v>3383</v>
      </c>
      <c r="C191" s="6"/>
      <c r="D191" s="13" t="s">
        <v>249</v>
      </c>
      <c r="E191" s="13" t="str">
        <f t="shared" si="70"/>
        <v>3383 - Bảo hiểm xã hội</v>
      </c>
      <c r="F191" s="8" t="str">
        <f t="shared" si="56"/>
        <v>E600</v>
      </c>
      <c r="G191" s="10" t="s">
        <v>247</v>
      </c>
      <c r="H191" s="8" t="s">
        <v>76</v>
      </c>
      <c r="I191" s="10">
        <f t="shared" si="71"/>
        <v>319</v>
      </c>
    </row>
    <row r="192" spans="1:9" x14ac:dyDescent="0.25">
      <c r="A192" s="5">
        <v>338</v>
      </c>
      <c r="B192" s="6">
        <v>3384</v>
      </c>
      <c r="C192" s="6"/>
      <c r="D192" s="13" t="s">
        <v>250</v>
      </c>
      <c r="E192" s="13" t="str">
        <f t="shared" si="70"/>
        <v>3384 - Bảo hiểm y tế</v>
      </c>
      <c r="F192" s="8" t="str">
        <f t="shared" si="56"/>
        <v>E600</v>
      </c>
      <c r="G192" s="10" t="s">
        <v>247</v>
      </c>
      <c r="H192" s="8" t="s">
        <v>76</v>
      </c>
      <c r="I192" s="10">
        <f t="shared" si="71"/>
        <v>319</v>
      </c>
    </row>
    <row r="193" spans="1:9" x14ac:dyDescent="0.25">
      <c r="A193" s="5">
        <v>338</v>
      </c>
      <c r="B193" s="6">
        <v>3385</v>
      </c>
      <c r="C193" s="6"/>
      <c r="D193" s="13" t="s">
        <v>251</v>
      </c>
      <c r="E193" s="13" t="str">
        <f t="shared" si="70"/>
        <v>3385 - Phải trả về cổ phần hoá</v>
      </c>
      <c r="F193" s="8" t="str">
        <f t="shared" si="56"/>
        <v>E600</v>
      </c>
      <c r="G193" s="10" t="s">
        <v>247</v>
      </c>
      <c r="H193" s="8" t="s">
        <v>76</v>
      </c>
      <c r="I193" s="10">
        <f t="shared" si="71"/>
        <v>319</v>
      </c>
    </row>
    <row r="194" spans="1:9" x14ac:dyDescent="0.25">
      <c r="A194" s="5">
        <v>338</v>
      </c>
      <c r="B194" s="6">
        <v>3386</v>
      </c>
      <c r="C194" s="6"/>
      <c r="D194" s="13" t="s">
        <v>252</v>
      </c>
      <c r="E194" s="13" t="str">
        <f t="shared" si="70"/>
        <v>3386 - Bảo hiểm thất nghiệp</v>
      </c>
      <c r="F194" s="8" t="str">
        <f t="shared" si="56"/>
        <v>E600</v>
      </c>
      <c r="G194" s="10" t="s">
        <v>247</v>
      </c>
      <c r="H194" s="8" t="s">
        <v>76</v>
      </c>
      <c r="I194" s="10">
        <f t="shared" si="71"/>
        <v>319</v>
      </c>
    </row>
    <row r="195" spans="1:9" x14ac:dyDescent="0.25">
      <c r="A195" s="5">
        <v>338</v>
      </c>
      <c r="B195" s="6">
        <v>3387</v>
      </c>
      <c r="C195" s="6">
        <v>3387</v>
      </c>
      <c r="D195" s="13" t="s">
        <v>253</v>
      </c>
      <c r="E195" s="13" t="str">
        <f t="shared" si="70"/>
        <v>3387 - Doanh thu chưa thực hiện</v>
      </c>
      <c r="F195" s="8" t="str">
        <f t="shared" si="56"/>
        <v>E200</v>
      </c>
      <c r="G195" s="10" t="s">
        <v>189</v>
      </c>
      <c r="H195" s="8" t="s">
        <v>254</v>
      </c>
      <c r="I195" s="10">
        <f t="shared" si="71"/>
        <v>318</v>
      </c>
    </row>
    <row r="196" spans="1:9" x14ac:dyDescent="0.25">
      <c r="A196" s="5">
        <v>338</v>
      </c>
      <c r="B196" s="6">
        <v>3387</v>
      </c>
      <c r="C196" s="6" t="s">
        <v>255</v>
      </c>
      <c r="D196" s="13" t="s">
        <v>256</v>
      </c>
      <c r="E196" s="13" t="str">
        <f t="shared" si="70"/>
        <v>3387a - Doanh thu chưa thực hiện - dài hạn</v>
      </c>
      <c r="F196" s="8" t="str">
        <f t="shared" si="56"/>
        <v>E200</v>
      </c>
      <c r="G196" s="10" t="s">
        <v>189</v>
      </c>
      <c r="H196" s="8" t="s">
        <v>257</v>
      </c>
      <c r="I196" s="10">
        <f t="shared" si="71"/>
        <v>336</v>
      </c>
    </row>
    <row r="197" spans="1:9" x14ac:dyDescent="0.25">
      <c r="A197" s="5">
        <v>338</v>
      </c>
      <c r="B197" s="6">
        <v>3388</v>
      </c>
      <c r="C197" s="6"/>
      <c r="D197" s="13" t="s">
        <v>258</v>
      </c>
      <c r="E197" s="13" t="str">
        <f t="shared" si="70"/>
        <v xml:space="preserve">3388 - Phải trả, phải nộp khác </v>
      </c>
      <c r="F197" s="8" t="str">
        <f t="shared" si="56"/>
        <v>E600</v>
      </c>
      <c r="G197" s="10" t="s">
        <v>247</v>
      </c>
      <c r="H197" s="8" t="s">
        <v>76</v>
      </c>
      <c r="I197" s="10">
        <f t="shared" si="71"/>
        <v>319</v>
      </c>
    </row>
    <row r="198" spans="1:9" x14ac:dyDescent="0.25">
      <c r="A198" s="5">
        <v>338</v>
      </c>
      <c r="B198" s="6" t="s">
        <v>259</v>
      </c>
      <c r="C198" s="6"/>
      <c r="D198" s="8" t="s">
        <v>260</v>
      </c>
      <c r="E198" s="8" t="str">
        <f t="shared" si="70"/>
        <v>338x - Dư nợ TK 338</v>
      </c>
      <c r="F198" s="8" t="str">
        <f>LEFT(G198,4)</f>
        <v>E600</v>
      </c>
      <c r="G198" s="10" t="s">
        <v>247</v>
      </c>
      <c r="H198" s="8" t="s">
        <v>73</v>
      </c>
      <c r="I198" s="10">
        <f t="shared" si="71"/>
        <v>136</v>
      </c>
    </row>
    <row r="199" spans="1:9" x14ac:dyDescent="0.25">
      <c r="A199" s="5">
        <v>338</v>
      </c>
      <c r="B199" s="6" t="s">
        <v>261</v>
      </c>
      <c r="C199" s="6" t="s">
        <v>261</v>
      </c>
      <c r="D199" s="13" t="s">
        <v>262</v>
      </c>
      <c r="E199" s="13" t="str">
        <f t="shared" si="70"/>
        <v>338a - Phải trả khác - dài hạn</v>
      </c>
      <c r="F199" s="8" t="str">
        <f t="shared" si="56"/>
        <v>E600</v>
      </c>
      <c r="G199" s="10" t="s">
        <v>247</v>
      </c>
      <c r="H199" s="8" t="s">
        <v>82</v>
      </c>
      <c r="I199" s="10">
        <f t="shared" si="71"/>
        <v>337</v>
      </c>
    </row>
    <row r="200" spans="1:9" x14ac:dyDescent="0.25">
      <c r="A200" s="5">
        <v>338</v>
      </c>
      <c r="B200" s="6" t="s">
        <v>261</v>
      </c>
      <c r="C200" s="6" t="s">
        <v>263</v>
      </c>
      <c r="D200" s="8" t="s">
        <v>264</v>
      </c>
      <c r="E200" s="13" t="str">
        <f t="shared" si="70"/>
        <v>338ax - Dư nợ TK 338 - dài hạn</v>
      </c>
      <c r="F200" s="8" t="str">
        <f t="shared" si="56"/>
        <v>E600</v>
      </c>
      <c r="G200" s="10" t="s">
        <v>247</v>
      </c>
      <c r="H200" s="8" t="s">
        <v>79</v>
      </c>
      <c r="I200" s="10">
        <f t="shared" si="71"/>
        <v>216</v>
      </c>
    </row>
    <row r="201" spans="1:9" x14ac:dyDescent="0.25">
      <c r="A201" s="5"/>
      <c r="B201" s="6"/>
      <c r="C201" s="6"/>
      <c r="D201" s="13"/>
      <c r="E201" s="13"/>
      <c r="F201" s="8" t="str">
        <f t="shared" si="56"/>
        <v/>
      </c>
      <c r="G201" s="10"/>
      <c r="H201" s="8"/>
      <c r="I201" s="6"/>
    </row>
    <row r="202" spans="1:9" x14ac:dyDescent="0.25">
      <c r="A202" s="5"/>
      <c r="B202" s="6"/>
      <c r="C202" s="6"/>
      <c r="D202" s="12" t="s">
        <v>265</v>
      </c>
      <c r="E202" s="13"/>
      <c r="F202" s="8"/>
      <c r="G202" s="10"/>
      <c r="H202" s="8"/>
      <c r="I202" s="10"/>
    </row>
    <row r="203" spans="1:9" x14ac:dyDescent="0.25">
      <c r="A203" s="5">
        <v>341</v>
      </c>
      <c r="B203" s="6">
        <v>3411</v>
      </c>
      <c r="C203" s="6">
        <v>34111</v>
      </c>
      <c r="D203" s="13" t="s">
        <v>266</v>
      </c>
      <c r="E203" s="13" t="str">
        <f t="shared" ref="E203:E206" si="72">IF(C203="",TEXT(CONCATENATE(B203," ","-"," ",D203),1),TEXT(CONCATENATE(C203," ","-"," ",D203),1))</f>
        <v>34111 - Các khoản đi vay (ngắn hạn)</v>
      </c>
      <c r="F203" s="8" t="str">
        <f t="shared" si="56"/>
        <v>E100</v>
      </c>
      <c r="G203" s="10" t="s">
        <v>267</v>
      </c>
      <c r="H203" s="8" t="s">
        <v>268</v>
      </c>
      <c r="I203" s="10">
        <f t="shared" ref="I203:I206" si="73">LEFT(H203,3)*1</f>
        <v>320</v>
      </c>
    </row>
    <row r="204" spans="1:9" x14ac:dyDescent="0.25">
      <c r="A204" s="5">
        <v>341</v>
      </c>
      <c r="B204" s="6">
        <v>3411</v>
      </c>
      <c r="C204" s="6">
        <v>34112</v>
      </c>
      <c r="D204" s="13" t="s">
        <v>269</v>
      </c>
      <c r="E204" s="13" t="str">
        <f t="shared" si="72"/>
        <v>34112 - Các khoản đi vay (dài hạn)</v>
      </c>
      <c r="F204" s="8" t="str">
        <f t="shared" si="56"/>
        <v>E100</v>
      </c>
      <c r="G204" s="10" t="s">
        <v>267</v>
      </c>
      <c r="H204" s="8" t="s">
        <v>270</v>
      </c>
      <c r="I204" s="10">
        <f t="shared" si="73"/>
        <v>338</v>
      </c>
    </row>
    <row r="205" spans="1:9" x14ac:dyDescent="0.25">
      <c r="A205" s="5">
        <v>341</v>
      </c>
      <c r="B205" s="6">
        <v>3412</v>
      </c>
      <c r="C205" s="6">
        <v>34121</v>
      </c>
      <c r="D205" s="13" t="s">
        <v>271</v>
      </c>
      <c r="E205" s="13" t="str">
        <f t="shared" si="72"/>
        <v>34121 - Nợ thuê tài chính (ngắn hạn)</v>
      </c>
      <c r="F205" s="8" t="str">
        <f t="shared" si="56"/>
        <v>E100</v>
      </c>
      <c r="G205" s="10" t="s">
        <v>267</v>
      </c>
      <c r="H205" s="8" t="s">
        <v>268</v>
      </c>
      <c r="I205" s="10">
        <f t="shared" si="73"/>
        <v>320</v>
      </c>
    </row>
    <row r="206" spans="1:9" x14ac:dyDescent="0.25">
      <c r="A206" s="5">
        <v>341</v>
      </c>
      <c r="B206" s="6">
        <v>3412</v>
      </c>
      <c r="C206" s="6">
        <v>34122</v>
      </c>
      <c r="D206" s="13" t="s">
        <v>272</v>
      </c>
      <c r="E206" s="13" t="str">
        <f t="shared" si="72"/>
        <v>34122 - Nợ thuê tài chính (dài hạn)</v>
      </c>
      <c r="F206" s="8" t="str">
        <f t="shared" si="56"/>
        <v>E100</v>
      </c>
      <c r="G206" s="10" t="s">
        <v>267</v>
      </c>
      <c r="H206" s="8" t="s">
        <v>270</v>
      </c>
      <c r="I206" s="10">
        <f t="shared" si="73"/>
        <v>338</v>
      </c>
    </row>
    <row r="207" spans="1:9" x14ac:dyDescent="0.25">
      <c r="A207" s="5"/>
      <c r="B207" s="6"/>
      <c r="C207" s="6"/>
      <c r="D207" s="13"/>
      <c r="E207" s="13"/>
      <c r="F207" s="8" t="str">
        <f t="shared" si="56"/>
        <v/>
      </c>
      <c r="G207" s="10"/>
      <c r="H207" s="8"/>
      <c r="I207" s="6"/>
    </row>
    <row r="208" spans="1:9" x14ac:dyDescent="0.25">
      <c r="A208" s="5"/>
      <c r="B208" s="6"/>
      <c r="C208" s="6"/>
      <c r="D208" s="12" t="s">
        <v>273</v>
      </c>
      <c r="E208" s="13"/>
      <c r="F208" s="8" t="str">
        <f t="shared" si="56"/>
        <v/>
      </c>
      <c r="G208" s="10"/>
      <c r="H208" s="8"/>
      <c r="I208" s="6"/>
    </row>
    <row r="209" spans="1:9" x14ac:dyDescent="0.25">
      <c r="A209" s="5">
        <v>343</v>
      </c>
      <c r="B209" s="6">
        <v>3431</v>
      </c>
      <c r="C209" s="6">
        <v>34311</v>
      </c>
      <c r="D209" s="13" t="s">
        <v>274</v>
      </c>
      <c r="E209" s="13" t="str">
        <f t="shared" ref="E209:E213" si="74">IF(C209="",TEXT(CONCATENATE(B209," ","-"," ",D209),1),TEXT(CONCATENATE(C209," ","-"," ",D209),1))</f>
        <v>34311 - Mệnh giá trái phiếu</v>
      </c>
      <c r="F209" s="8" t="str">
        <f t="shared" si="56"/>
        <v>E100</v>
      </c>
      <c r="G209" s="10" t="s">
        <v>267</v>
      </c>
      <c r="H209" s="8" t="s">
        <v>268</v>
      </c>
      <c r="I209" s="10">
        <f>LEFT(H209,3)*1</f>
        <v>320</v>
      </c>
    </row>
    <row r="210" spans="1:9" x14ac:dyDescent="0.25">
      <c r="A210" s="5">
        <v>343</v>
      </c>
      <c r="B210" s="6">
        <v>3431</v>
      </c>
      <c r="C210" s="6" t="s">
        <v>275</v>
      </c>
      <c r="D210" s="13" t="s">
        <v>276</v>
      </c>
      <c r="E210" s="13" t="str">
        <f t="shared" si="74"/>
        <v>34311a - Mệnh giá trái phiếu - dài hạn</v>
      </c>
      <c r="F210" s="8" t="str">
        <f t="shared" si="56"/>
        <v>E100</v>
      </c>
      <c r="G210" s="10" t="s">
        <v>267</v>
      </c>
      <c r="H210" s="8" t="s">
        <v>270</v>
      </c>
      <c r="I210" s="10">
        <f t="shared" ref="I210:I213" si="75">LEFT(H210,3)*1</f>
        <v>338</v>
      </c>
    </row>
    <row r="211" spans="1:9" x14ac:dyDescent="0.25">
      <c r="A211" s="5">
        <v>343</v>
      </c>
      <c r="B211" s="6">
        <v>3431</v>
      </c>
      <c r="C211" s="6">
        <v>34312</v>
      </c>
      <c r="D211" s="13" t="s">
        <v>277</v>
      </c>
      <c r="E211" s="13" t="str">
        <f t="shared" si="74"/>
        <v>34312 - Chiết khấu trái phiếu</v>
      </c>
      <c r="F211" s="8" t="str">
        <f t="shared" si="56"/>
        <v>E100</v>
      </c>
      <c r="G211" s="10" t="s">
        <v>267</v>
      </c>
      <c r="H211" s="8" t="s">
        <v>270</v>
      </c>
      <c r="I211" s="10">
        <f t="shared" si="75"/>
        <v>338</v>
      </c>
    </row>
    <row r="212" spans="1:9" x14ac:dyDescent="0.25">
      <c r="A212" s="5">
        <v>343</v>
      </c>
      <c r="B212" s="6">
        <v>3431</v>
      </c>
      <c r="C212" s="6">
        <v>34313</v>
      </c>
      <c r="D212" s="13" t="s">
        <v>278</v>
      </c>
      <c r="E212" s="13" t="str">
        <f t="shared" si="74"/>
        <v>34313 - Phụ trội trái phiếu</v>
      </c>
      <c r="F212" s="8" t="str">
        <f t="shared" si="56"/>
        <v>E100</v>
      </c>
      <c r="G212" s="10" t="s">
        <v>267</v>
      </c>
      <c r="H212" s="8" t="s">
        <v>270</v>
      </c>
      <c r="I212" s="10">
        <f t="shared" si="75"/>
        <v>338</v>
      </c>
    </row>
    <row r="213" spans="1:9" x14ac:dyDescent="0.25">
      <c r="A213" s="5">
        <v>343</v>
      </c>
      <c r="B213" s="6">
        <v>3432</v>
      </c>
      <c r="C213" s="6"/>
      <c r="D213" s="13" t="s">
        <v>279</v>
      </c>
      <c r="E213" s="13" t="str">
        <f t="shared" si="74"/>
        <v>3432 - Trái phiếu chuyển đổi</v>
      </c>
      <c r="F213" s="8" t="str">
        <f t="shared" ref="F213:F277" si="76">LEFT(G213,4)</f>
        <v>E100</v>
      </c>
      <c r="G213" s="10" t="s">
        <v>267</v>
      </c>
      <c r="H213" s="8" t="s">
        <v>280</v>
      </c>
      <c r="I213" s="10">
        <f t="shared" si="75"/>
        <v>339</v>
      </c>
    </row>
    <row r="214" spans="1:9" x14ac:dyDescent="0.25">
      <c r="A214" s="10"/>
      <c r="B214" s="6"/>
      <c r="C214" s="6"/>
      <c r="D214" s="13"/>
      <c r="E214" s="13"/>
      <c r="F214" s="8" t="str">
        <f t="shared" si="76"/>
        <v/>
      </c>
      <c r="G214" s="10"/>
      <c r="H214" s="8"/>
      <c r="I214" s="6"/>
    </row>
    <row r="215" spans="1:9" x14ac:dyDescent="0.25">
      <c r="A215" s="5">
        <v>344</v>
      </c>
      <c r="B215" s="6">
        <f>A215</f>
        <v>344</v>
      </c>
      <c r="C215" s="6"/>
      <c r="D215" s="13" t="s">
        <v>281</v>
      </c>
      <c r="E215" s="13" t="str">
        <f t="shared" ref="E215:E216" si="77">IF(C215="",TEXT(CONCATENATE(B215," ","-"," ",D215),1),TEXT(CONCATENATE(C215," ","-"," ",D215),1))</f>
        <v>344 - Nhận ký quỹ, ký cược</v>
      </c>
      <c r="F215" s="8" t="str">
        <f t="shared" si="76"/>
        <v>E600</v>
      </c>
      <c r="G215" s="10" t="s">
        <v>247</v>
      </c>
      <c r="H215" s="8" t="s">
        <v>76</v>
      </c>
      <c r="I215" s="10">
        <f t="shared" ref="I215:I216" si="78">LEFT(H215,3)*1</f>
        <v>319</v>
      </c>
    </row>
    <row r="216" spans="1:9" x14ac:dyDescent="0.25">
      <c r="A216" s="5">
        <v>344</v>
      </c>
      <c r="B216" s="6" t="s">
        <v>282</v>
      </c>
      <c r="C216" s="6"/>
      <c r="D216" s="13" t="s">
        <v>283</v>
      </c>
      <c r="E216" s="13" t="str">
        <f t="shared" si="77"/>
        <v>344a - Nhận ký quỹ, ký cược dài hạn</v>
      </c>
      <c r="F216" s="8" t="str">
        <f t="shared" si="76"/>
        <v>E600</v>
      </c>
      <c r="G216" s="10" t="s">
        <v>247</v>
      </c>
      <c r="H216" s="8" t="s">
        <v>82</v>
      </c>
      <c r="I216" s="10">
        <f t="shared" si="78"/>
        <v>337</v>
      </c>
    </row>
    <row r="217" spans="1:9" x14ac:dyDescent="0.25">
      <c r="A217" s="5"/>
      <c r="B217" s="6"/>
      <c r="C217" s="6"/>
      <c r="D217" s="13"/>
      <c r="E217" s="13"/>
      <c r="F217" s="8" t="str">
        <f t="shared" si="76"/>
        <v/>
      </c>
      <c r="G217" s="10"/>
      <c r="H217" s="8"/>
      <c r="I217" s="6"/>
    </row>
    <row r="218" spans="1:9" x14ac:dyDescent="0.25">
      <c r="A218" s="5">
        <v>347</v>
      </c>
      <c r="B218" s="6">
        <f>A218</f>
        <v>347</v>
      </c>
      <c r="C218" s="6"/>
      <c r="D218" s="13" t="s">
        <v>284</v>
      </c>
      <c r="E218" s="13" t="str">
        <f t="shared" ref="E218" si="79">IF(C218="",TEXT(CONCATENATE(B218," ","-"," ",D218),1),TEXT(CONCATENATE(C218," ","-"," ",D218),1))</f>
        <v>347 - Thuế thu nhập hoãn lại phải trả</v>
      </c>
      <c r="F218" s="8" t="str">
        <f t="shared" si="76"/>
        <v>E300</v>
      </c>
      <c r="G218" s="10" t="s">
        <v>55</v>
      </c>
      <c r="H218" s="8" t="s">
        <v>285</v>
      </c>
      <c r="I218" s="10">
        <f>LEFT(H218,3)*1</f>
        <v>341</v>
      </c>
    </row>
    <row r="219" spans="1:9" x14ac:dyDescent="0.25">
      <c r="A219" s="5"/>
      <c r="B219" s="6"/>
      <c r="C219" s="6"/>
      <c r="D219" s="13"/>
      <c r="E219" s="13"/>
      <c r="F219" s="8" t="str">
        <f t="shared" si="76"/>
        <v/>
      </c>
      <c r="G219" s="10"/>
      <c r="H219" s="8"/>
      <c r="I219" s="6"/>
    </row>
    <row r="220" spans="1:9" x14ac:dyDescent="0.25">
      <c r="A220" s="5"/>
      <c r="B220" s="6"/>
      <c r="C220" s="6"/>
      <c r="D220" s="12" t="s">
        <v>286</v>
      </c>
      <c r="E220" s="13"/>
      <c r="F220" s="8"/>
      <c r="G220" s="10"/>
      <c r="H220" s="8"/>
      <c r="I220" s="6"/>
    </row>
    <row r="221" spans="1:9" x14ac:dyDescent="0.25">
      <c r="A221" s="5">
        <v>352</v>
      </c>
      <c r="B221" s="6">
        <v>3521</v>
      </c>
      <c r="C221" s="6"/>
      <c r="D221" s="13" t="s">
        <v>287</v>
      </c>
      <c r="E221" s="13" t="str">
        <f t="shared" ref="E221:E225" si="80">IF(C221="",TEXT(CONCATENATE(B221," ","-"," ",D221),1),TEXT(CONCATENATE(C221," ","-"," ",D221),1))</f>
        <v>3521 - Dự phòng bảo hành sản phẩm hàng hóa</v>
      </c>
      <c r="F221" s="8" t="str">
        <f t="shared" si="76"/>
        <v>E200</v>
      </c>
      <c r="G221" s="10" t="s">
        <v>189</v>
      </c>
      <c r="H221" s="8" t="s">
        <v>288</v>
      </c>
      <c r="I221" s="10">
        <f t="shared" ref="I221:I225" si="81">LEFT(H221,3)*1</f>
        <v>321</v>
      </c>
    </row>
    <row r="222" spans="1:9" x14ac:dyDescent="0.25">
      <c r="A222" s="5">
        <v>352</v>
      </c>
      <c r="B222" s="6">
        <v>3522</v>
      </c>
      <c r="C222" s="6"/>
      <c r="D222" s="13" t="s">
        <v>289</v>
      </c>
      <c r="E222" s="13" t="str">
        <f t="shared" si="80"/>
        <v>3522 - Dự phòng bảo hành công trình xây dựng</v>
      </c>
      <c r="F222" s="8" t="str">
        <f t="shared" si="76"/>
        <v>E200</v>
      </c>
      <c r="G222" s="10" t="s">
        <v>189</v>
      </c>
      <c r="H222" s="8" t="s">
        <v>288</v>
      </c>
      <c r="I222" s="10">
        <f t="shared" si="81"/>
        <v>321</v>
      </c>
    </row>
    <row r="223" spans="1:9" x14ac:dyDescent="0.25">
      <c r="A223" s="5">
        <v>352</v>
      </c>
      <c r="B223" s="6">
        <v>3523</v>
      </c>
      <c r="C223" s="6"/>
      <c r="D223" s="13" t="s">
        <v>290</v>
      </c>
      <c r="E223" s="13" t="str">
        <f t="shared" si="80"/>
        <v>3523 - Dự phòng tái cơ cấu doanh nghiệp</v>
      </c>
      <c r="F223" s="8" t="str">
        <f t="shared" si="76"/>
        <v>E200</v>
      </c>
      <c r="G223" s="10" t="s">
        <v>189</v>
      </c>
      <c r="H223" s="8" t="s">
        <v>288</v>
      </c>
      <c r="I223" s="10">
        <f t="shared" si="81"/>
        <v>321</v>
      </c>
    </row>
    <row r="224" spans="1:9" x14ac:dyDescent="0.25">
      <c r="A224" s="5">
        <v>352</v>
      </c>
      <c r="B224" s="6">
        <v>3524</v>
      </c>
      <c r="C224" s="6"/>
      <c r="D224" s="13" t="s">
        <v>291</v>
      </c>
      <c r="E224" s="13" t="str">
        <f t="shared" si="80"/>
        <v>3524 - Dự phòng phải trả khác</v>
      </c>
      <c r="F224" s="8" t="str">
        <f t="shared" si="76"/>
        <v>E200</v>
      </c>
      <c r="G224" s="10" t="s">
        <v>189</v>
      </c>
      <c r="H224" s="8" t="s">
        <v>288</v>
      </c>
      <c r="I224" s="10">
        <f t="shared" si="81"/>
        <v>321</v>
      </c>
    </row>
    <row r="225" spans="1:9" x14ac:dyDescent="0.25">
      <c r="A225" s="5">
        <v>352</v>
      </c>
      <c r="B225" s="6">
        <v>3529</v>
      </c>
      <c r="C225" s="6"/>
      <c r="D225" s="13" t="s">
        <v>292</v>
      </c>
      <c r="E225" s="13" t="str">
        <f t="shared" si="80"/>
        <v>3529 - Dự phòng phải trả dài hạn</v>
      </c>
      <c r="F225" s="8" t="str">
        <f t="shared" si="76"/>
        <v>E200</v>
      </c>
      <c r="G225" s="10" t="s">
        <v>189</v>
      </c>
      <c r="H225" s="8" t="s">
        <v>293</v>
      </c>
      <c r="I225" s="10">
        <f t="shared" si="81"/>
        <v>342</v>
      </c>
    </row>
    <row r="226" spans="1:9" x14ac:dyDescent="0.25">
      <c r="A226" s="5"/>
      <c r="B226" s="6"/>
      <c r="C226" s="6"/>
      <c r="D226" s="13"/>
      <c r="E226" s="13"/>
      <c r="F226" s="8" t="str">
        <f t="shared" si="76"/>
        <v/>
      </c>
      <c r="G226" s="10"/>
      <c r="H226" s="8"/>
      <c r="I226" s="6"/>
    </row>
    <row r="227" spans="1:9" x14ac:dyDescent="0.25">
      <c r="A227" s="5"/>
      <c r="B227" s="6"/>
      <c r="C227" s="6"/>
      <c r="D227" s="12" t="s">
        <v>294</v>
      </c>
      <c r="E227" s="13"/>
      <c r="F227" s="8"/>
      <c r="G227" s="10"/>
      <c r="H227" s="8"/>
      <c r="I227" s="6"/>
    </row>
    <row r="228" spans="1:9" x14ac:dyDescent="0.25">
      <c r="A228" s="5">
        <v>353</v>
      </c>
      <c r="B228" s="6">
        <v>3531</v>
      </c>
      <c r="C228" s="6"/>
      <c r="D228" s="13" t="s">
        <v>295</v>
      </c>
      <c r="E228" s="13" t="str">
        <f t="shared" ref="E228:E231" si="82">IF(C228="",TEXT(CONCATENATE(B228," ","-"," ",D228),1),TEXT(CONCATENATE(C228," ","-"," ",D228),1))</f>
        <v>3531 - Quỹ khen thưởng</v>
      </c>
      <c r="F228" s="8" t="str">
        <f t="shared" si="76"/>
        <v>F100</v>
      </c>
      <c r="G228" s="10" t="s">
        <v>296</v>
      </c>
      <c r="H228" s="8" t="s">
        <v>297</v>
      </c>
      <c r="I228" s="10">
        <f t="shared" ref="I228:I231" si="83">LEFT(H228,3)*1</f>
        <v>322</v>
      </c>
    </row>
    <row r="229" spans="1:9" x14ac:dyDescent="0.25">
      <c r="A229" s="5">
        <v>353</v>
      </c>
      <c r="B229" s="6">
        <v>3532</v>
      </c>
      <c r="C229" s="6"/>
      <c r="D229" s="13" t="s">
        <v>298</v>
      </c>
      <c r="E229" s="13" t="str">
        <f t="shared" si="82"/>
        <v>3532 - Quỹ phúc lợi</v>
      </c>
      <c r="F229" s="8" t="str">
        <f t="shared" si="76"/>
        <v>F100</v>
      </c>
      <c r="G229" s="10" t="s">
        <v>296</v>
      </c>
      <c r="H229" s="8" t="s">
        <v>297</v>
      </c>
      <c r="I229" s="10">
        <f t="shared" si="83"/>
        <v>322</v>
      </c>
    </row>
    <row r="230" spans="1:9" x14ac:dyDescent="0.25">
      <c r="A230" s="5">
        <v>353</v>
      </c>
      <c r="B230" s="6">
        <v>3533</v>
      </c>
      <c r="C230" s="6"/>
      <c r="D230" s="13" t="s">
        <v>299</v>
      </c>
      <c r="E230" s="13" t="str">
        <f t="shared" si="82"/>
        <v>3533 - Quỹ phúc lợi đã hình thành TSCĐ</v>
      </c>
      <c r="F230" s="8" t="str">
        <f t="shared" si="76"/>
        <v>F100</v>
      </c>
      <c r="G230" s="10" t="s">
        <v>296</v>
      </c>
      <c r="H230" s="8" t="s">
        <v>297</v>
      </c>
      <c r="I230" s="10">
        <f t="shared" si="83"/>
        <v>322</v>
      </c>
    </row>
    <row r="231" spans="1:9" x14ac:dyDescent="0.25">
      <c r="A231" s="5">
        <v>353</v>
      </c>
      <c r="B231" s="6">
        <v>3534</v>
      </c>
      <c r="C231" s="6"/>
      <c r="D231" s="13" t="s">
        <v>300</v>
      </c>
      <c r="E231" s="13" t="str">
        <f t="shared" si="82"/>
        <v>3534 - Quỹ thưởng ban quản lý điều hành công ty</v>
      </c>
      <c r="F231" s="8" t="str">
        <f t="shared" si="76"/>
        <v>F100</v>
      </c>
      <c r="G231" s="10" t="s">
        <v>296</v>
      </c>
      <c r="H231" s="8" t="s">
        <v>297</v>
      </c>
      <c r="I231" s="10">
        <f t="shared" si="83"/>
        <v>322</v>
      </c>
    </row>
    <row r="232" spans="1:9" x14ac:dyDescent="0.25">
      <c r="A232" s="5"/>
      <c r="B232" s="6"/>
      <c r="C232" s="6"/>
      <c r="D232" s="13"/>
      <c r="E232" s="13"/>
      <c r="F232" s="8" t="str">
        <f t="shared" si="76"/>
        <v/>
      </c>
      <c r="G232" s="10"/>
      <c r="H232" s="8"/>
      <c r="I232" s="6"/>
    </row>
    <row r="233" spans="1:9" x14ac:dyDescent="0.25">
      <c r="A233" s="5"/>
      <c r="B233" s="6"/>
      <c r="C233" s="6"/>
      <c r="D233" s="12" t="s">
        <v>301</v>
      </c>
      <c r="E233" s="13"/>
      <c r="F233" s="8"/>
      <c r="G233" s="10"/>
      <c r="H233" s="8"/>
      <c r="I233" s="6"/>
    </row>
    <row r="234" spans="1:9" x14ac:dyDescent="0.25">
      <c r="A234" s="5">
        <v>356</v>
      </c>
      <c r="B234" s="6">
        <v>3561</v>
      </c>
      <c r="C234" s="6"/>
      <c r="D234" s="13" t="s">
        <v>302</v>
      </c>
      <c r="E234" s="13" t="str">
        <f t="shared" ref="E234:E235" si="84">IF(C234="",TEXT(CONCATENATE(B234," ","-"," ",D234),1),TEXT(CONCATENATE(C234," ","-"," ",D234),1))</f>
        <v>3561 - Quỹ phát triển khoa học và công nghệ</v>
      </c>
      <c r="F234" s="8" t="str">
        <f t="shared" si="76"/>
        <v>F100</v>
      </c>
      <c r="G234" s="10" t="s">
        <v>296</v>
      </c>
      <c r="H234" s="8" t="s">
        <v>303</v>
      </c>
      <c r="I234" s="10">
        <f t="shared" ref="I234:I235" si="85">LEFT(H234,3)*1</f>
        <v>343</v>
      </c>
    </row>
    <row r="235" spans="1:9" x14ac:dyDescent="0.25">
      <c r="A235" s="5">
        <v>356</v>
      </c>
      <c r="B235" s="6">
        <v>3562</v>
      </c>
      <c r="C235" s="6"/>
      <c r="D235" s="13" t="s">
        <v>304</v>
      </c>
      <c r="E235" s="13" t="str">
        <f t="shared" si="84"/>
        <v>3562 - Quỹ phát triển khoa học và công nghệ đã hình thành TSCĐ</v>
      </c>
      <c r="F235" s="8" t="str">
        <f t="shared" si="76"/>
        <v>F100</v>
      </c>
      <c r="G235" s="10" t="s">
        <v>296</v>
      </c>
      <c r="H235" s="8" t="s">
        <v>303</v>
      </c>
      <c r="I235" s="10">
        <f t="shared" si="85"/>
        <v>343</v>
      </c>
    </row>
    <row r="236" spans="1:9" x14ac:dyDescent="0.25">
      <c r="A236" s="5"/>
      <c r="B236" s="6"/>
      <c r="C236" s="6"/>
      <c r="D236" s="11"/>
      <c r="E236" s="11"/>
      <c r="F236" s="8" t="str">
        <f t="shared" si="76"/>
        <v/>
      </c>
      <c r="G236" s="10"/>
      <c r="H236" s="8"/>
      <c r="I236" s="6"/>
    </row>
    <row r="237" spans="1:9" x14ac:dyDescent="0.25">
      <c r="A237" s="5">
        <v>357</v>
      </c>
      <c r="B237" s="6">
        <f>A237</f>
        <v>357</v>
      </c>
      <c r="C237" s="6"/>
      <c r="D237" s="13" t="s">
        <v>305</v>
      </c>
      <c r="E237" s="13" t="str">
        <f t="shared" ref="E237" si="86">IF(C237="",TEXT(CONCATENATE(B237," ","-"," ",D237),1),TEXT(CONCATENATE(C237," ","-"," ",D237),1))</f>
        <v>357 - Quỹ bình ổn giá</v>
      </c>
      <c r="F237" s="8" t="str">
        <f t="shared" si="76"/>
        <v>F100</v>
      </c>
      <c r="G237" s="10" t="s">
        <v>296</v>
      </c>
      <c r="H237" s="8" t="s">
        <v>306</v>
      </c>
      <c r="I237" s="10">
        <f>LEFT(H237,3)*1</f>
        <v>323</v>
      </c>
    </row>
    <row r="238" spans="1:9" x14ac:dyDescent="0.25">
      <c r="A238" s="5"/>
      <c r="B238" s="6"/>
      <c r="C238" s="6"/>
      <c r="D238" s="11"/>
      <c r="E238" s="11"/>
      <c r="F238" s="8" t="str">
        <f t="shared" si="76"/>
        <v/>
      </c>
      <c r="G238" s="10"/>
      <c r="H238" s="8"/>
      <c r="I238" s="6"/>
    </row>
    <row r="239" spans="1:9" x14ac:dyDescent="0.25">
      <c r="A239" s="5"/>
      <c r="B239" s="6"/>
      <c r="C239" s="6"/>
      <c r="D239" s="9" t="s">
        <v>307</v>
      </c>
      <c r="E239" s="7"/>
      <c r="F239" s="8" t="str">
        <f t="shared" si="76"/>
        <v/>
      </c>
      <c r="G239" s="10"/>
      <c r="H239" s="8"/>
      <c r="I239" s="6"/>
    </row>
    <row r="240" spans="1:9" x14ac:dyDescent="0.25">
      <c r="A240" s="5"/>
      <c r="B240" s="6"/>
      <c r="C240" s="6"/>
      <c r="D240" s="13"/>
      <c r="E240" s="13"/>
      <c r="F240" s="8" t="str">
        <f t="shared" si="76"/>
        <v/>
      </c>
      <c r="G240" s="10"/>
      <c r="H240" s="8"/>
      <c r="I240" s="6"/>
    </row>
    <row r="241" spans="1:9" x14ac:dyDescent="0.25">
      <c r="A241" s="5"/>
      <c r="B241" s="6"/>
      <c r="C241" s="6"/>
      <c r="D241" s="12" t="s">
        <v>308</v>
      </c>
      <c r="E241" s="13"/>
      <c r="F241" s="8" t="str">
        <f t="shared" si="76"/>
        <v/>
      </c>
      <c r="G241" s="10"/>
      <c r="H241" s="8"/>
      <c r="I241" s="6"/>
    </row>
    <row r="242" spans="1:9" x14ac:dyDescent="0.25">
      <c r="A242" s="5">
        <v>411</v>
      </c>
      <c r="B242" s="6">
        <v>4111</v>
      </c>
      <c r="C242" s="6">
        <v>41111</v>
      </c>
      <c r="D242" s="13" t="s">
        <v>309</v>
      </c>
      <c r="E242" s="13" t="str">
        <f t="shared" ref="E242:E247" si="87">IF(C242="",TEXT(CONCATENATE(B242," ","-"," ",D242),1),TEXT(CONCATENATE(C242," ","-"," ",D242),1))</f>
        <v>41111 - Cổ phiếu phổ thông có quyền biểu quyết</v>
      </c>
      <c r="F242" s="8" t="str">
        <f t="shared" si="76"/>
        <v>F100</v>
      </c>
      <c r="G242" s="10" t="s">
        <v>296</v>
      </c>
      <c r="H242" s="8" t="s">
        <v>310</v>
      </c>
      <c r="I242" s="17" t="s">
        <v>311</v>
      </c>
    </row>
    <row r="243" spans="1:9" x14ac:dyDescent="0.25">
      <c r="A243" s="5">
        <v>411</v>
      </c>
      <c r="B243" s="6">
        <v>4111</v>
      </c>
      <c r="C243" s="6" t="s">
        <v>312</v>
      </c>
      <c r="D243" s="13" t="s">
        <v>313</v>
      </c>
      <c r="E243" s="13" t="str">
        <f t="shared" si="87"/>
        <v>41112-1 - Cổ phiếu ưu đãi - VCSH</v>
      </c>
      <c r="F243" s="8" t="str">
        <f t="shared" si="76"/>
        <v>F100</v>
      </c>
      <c r="G243" s="10" t="s">
        <v>296</v>
      </c>
      <c r="H243" s="8" t="s">
        <v>314</v>
      </c>
      <c r="I243" s="17" t="s">
        <v>315</v>
      </c>
    </row>
    <row r="244" spans="1:9" x14ac:dyDescent="0.25">
      <c r="A244" s="5">
        <v>411</v>
      </c>
      <c r="B244" s="22">
        <v>4111</v>
      </c>
      <c r="C244" s="22" t="s">
        <v>316</v>
      </c>
      <c r="D244" s="23" t="s">
        <v>317</v>
      </c>
      <c r="E244" s="23" t="str">
        <f t="shared" si="87"/>
        <v>41112-2 - Cổ phiếu ưu đãi - NPT</v>
      </c>
      <c r="F244" s="16" t="str">
        <f t="shared" si="76"/>
        <v>E100</v>
      </c>
      <c r="G244" s="17" t="s">
        <v>267</v>
      </c>
      <c r="H244" s="16" t="s">
        <v>318</v>
      </c>
      <c r="I244" s="10">
        <f t="shared" ref="I244:I247" si="88">LEFT(H244,3)*1</f>
        <v>340</v>
      </c>
    </row>
    <row r="245" spans="1:9" x14ac:dyDescent="0.25">
      <c r="A245" s="5">
        <v>411</v>
      </c>
      <c r="B245" s="6">
        <v>4112</v>
      </c>
      <c r="C245" s="6"/>
      <c r="D245" s="13" t="s">
        <v>319</v>
      </c>
      <c r="E245" s="13" t="str">
        <f t="shared" si="87"/>
        <v>4112 - Thặng dư vốn cổ phần</v>
      </c>
      <c r="F245" s="8" t="str">
        <f t="shared" si="76"/>
        <v>F100</v>
      </c>
      <c r="G245" s="10" t="s">
        <v>296</v>
      </c>
      <c r="H245" s="8" t="s">
        <v>320</v>
      </c>
      <c r="I245" s="10">
        <f t="shared" si="88"/>
        <v>412</v>
      </c>
    </row>
    <row r="246" spans="1:9" x14ac:dyDescent="0.25">
      <c r="A246" s="5">
        <v>411</v>
      </c>
      <c r="B246" s="6">
        <v>4113</v>
      </c>
      <c r="C246" s="6"/>
      <c r="D246" s="13" t="s">
        <v>321</v>
      </c>
      <c r="E246" s="13" t="str">
        <f t="shared" si="87"/>
        <v>4113 - Quyền chọn chuyển đổi trái phiếu</v>
      </c>
      <c r="F246" s="8" t="str">
        <f t="shared" si="76"/>
        <v>F100</v>
      </c>
      <c r="G246" s="10" t="s">
        <v>296</v>
      </c>
      <c r="H246" s="8" t="s">
        <v>322</v>
      </c>
      <c r="I246" s="10">
        <f t="shared" si="88"/>
        <v>413</v>
      </c>
    </row>
    <row r="247" spans="1:9" x14ac:dyDescent="0.25">
      <c r="A247" s="5">
        <v>411</v>
      </c>
      <c r="B247" s="6">
        <v>4118</v>
      </c>
      <c r="C247" s="6"/>
      <c r="D247" s="13" t="s">
        <v>323</v>
      </c>
      <c r="E247" s="13" t="str">
        <f t="shared" si="87"/>
        <v xml:space="preserve">4118 - Vốn khác </v>
      </c>
      <c r="F247" s="8" t="str">
        <f t="shared" si="76"/>
        <v>F100</v>
      </c>
      <c r="G247" s="10" t="s">
        <v>296</v>
      </c>
      <c r="H247" s="8" t="s">
        <v>324</v>
      </c>
      <c r="I247" s="10">
        <f t="shared" si="88"/>
        <v>414</v>
      </c>
    </row>
    <row r="248" spans="1:9" x14ac:dyDescent="0.25">
      <c r="A248" s="5"/>
      <c r="B248" s="6"/>
      <c r="C248" s="6"/>
      <c r="D248" s="13"/>
      <c r="E248" s="13"/>
      <c r="F248" s="8" t="str">
        <f t="shared" si="76"/>
        <v/>
      </c>
      <c r="G248" s="10"/>
      <c r="H248" s="8"/>
      <c r="I248" s="6"/>
    </row>
    <row r="249" spans="1:9" x14ac:dyDescent="0.25">
      <c r="A249" s="5">
        <v>412</v>
      </c>
      <c r="B249" s="6">
        <f>A249</f>
        <v>412</v>
      </c>
      <c r="C249" s="6"/>
      <c r="D249" s="13" t="s">
        <v>325</v>
      </c>
      <c r="E249" s="13" t="str">
        <f t="shared" ref="E249" si="89">IF(C249="",TEXT(CONCATENATE(B249," ","-"," ",D249),1),TEXT(CONCATENATE(C249," ","-"," ",D249),1))</f>
        <v>412 - Chênh lệch đánh giá lại tài sản</v>
      </c>
      <c r="F249" s="8" t="str">
        <f t="shared" si="76"/>
        <v>F100</v>
      </c>
      <c r="G249" s="10" t="s">
        <v>296</v>
      </c>
      <c r="H249" s="8" t="s">
        <v>326</v>
      </c>
      <c r="I249" s="10">
        <f>LEFT(H249,3)*1</f>
        <v>416</v>
      </c>
    </row>
    <row r="250" spans="1:9" x14ac:dyDescent="0.25">
      <c r="A250" s="5"/>
      <c r="B250" s="6"/>
      <c r="C250" s="6"/>
      <c r="D250" s="13"/>
      <c r="E250" s="13"/>
      <c r="F250" s="8" t="str">
        <f t="shared" si="76"/>
        <v/>
      </c>
      <c r="G250" s="10"/>
      <c r="H250" s="8"/>
      <c r="I250" s="6"/>
    </row>
    <row r="251" spans="1:9" x14ac:dyDescent="0.25">
      <c r="A251" s="5"/>
      <c r="B251" s="6"/>
      <c r="C251" s="6"/>
      <c r="D251" s="12" t="s">
        <v>327</v>
      </c>
      <c r="E251" s="13"/>
      <c r="F251" s="8" t="str">
        <f t="shared" si="76"/>
        <v/>
      </c>
      <c r="G251" s="10"/>
      <c r="H251" s="8"/>
      <c r="I251" s="6"/>
    </row>
    <row r="252" spans="1:9" x14ac:dyDescent="0.25">
      <c r="A252" s="5">
        <v>413</v>
      </c>
      <c r="B252" s="6">
        <v>4131</v>
      </c>
      <c r="C252" s="6"/>
      <c r="D252" s="13" t="s">
        <v>328</v>
      </c>
      <c r="E252" s="13" t="str">
        <f t="shared" ref="E252:E253" si="90">IF(C252="",TEXT(CONCATENATE(B252," ","-"," ",D252),1),TEXT(CONCATENATE(C252," ","-"," ",D252),1))</f>
        <v>4131 - Chênh lệch tỷ giá do đánh giá lại các khoản mục tiền tệ có gốc ngoại tệ</v>
      </c>
      <c r="F252" s="8" t="str">
        <f t="shared" si="76"/>
        <v>F100</v>
      </c>
      <c r="G252" s="10" t="s">
        <v>296</v>
      </c>
      <c r="H252" s="8" t="s">
        <v>329</v>
      </c>
      <c r="I252" s="10">
        <f t="shared" ref="I252:I253" si="91">LEFT(H252,3)*1</f>
        <v>417</v>
      </c>
    </row>
    <row r="253" spans="1:9" x14ac:dyDescent="0.25">
      <c r="A253" s="5">
        <v>413</v>
      </c>
      <c r="B253" s="6">
        <v>4132</v>
      </c>
      <c r="C253" s="6"/>
      <c r="D253" s="13" t="s">
        <v>330</v>
      </c>
      <c r="E253" s="13" t="str">
        <f t="shared" si="90"/>
        <v>4132 - Chênh lệch tỷ giá hối đoái trong giai đoạn trước hoạt động</v>
      </c>
      <c r="F253" s="8" t="str">
        <f t="shared" si="76"/>
        <v>F100</v>
      </c>
      <c r="G253" s="10" t="s">
        <v>296</v>
      </c>
      <c r="H253" s="8" t="s">
        <v>329</v>
      </c>
      <c r="I253" s="10">
        <f t="shared" si="91"/>
        <v>417</v>
      </c>
    </row>
    <row r="254" spans="1:9" x14ac:dyDescent="0.25">
      <c r="A254" s="5"/>
      <c r="B254" s="6"/>
      <c r="C254" s="6"/>
      <c r="D254" s="13"/>
      <c r="E254" s="13"/>
      <c r="F254" s="8" t="str">
        <f t="shared" si="76"/>
        <v/>
      </c>
      <c r="G254" s="10"/>
      <c r="H254" s="8"/>
      <c r="I254" s="6"/>
    </row>
    <row r="255" spans="1:9" x14ac:dyDescent="0.25">
      <c r="A255" s="5">
        <v>414</v>
      </c>
      <c r="B255" s="6">
        <f t="shared" ref="B255:B258" si="92">A255</f>
        <v>414</v>
      </c>
      <c r="C255" s="6"/>
      <c r="D255" s="13" t="s">
        <v>331</v>
      </c>
      <c r="E255" s="13" t="str">
        <f t="shared" ref="E255:E258" si="93">IF(C255="",TEXT(CONCATENATE(B255," ","-"," ",D255),1),TEXT(CONCATENATE(C255," ","-"," ",D255),1))</f>
        <v>414 - Quỹ đầu tư phát triển</v>
      </c>
      <c r="F255" s="8" t="str">
        <f t="shared" si="76"/>
        <v>F100</v>
      </c>
      <c r="G255" s="10" t="s">
        <v>296</v>
      </c>
      <c r="H255" s="8" t="s">
        <v>332</v>
      </c>
      <c r="I255" s="10">
        <f t="shared" ref="I255:I258" si="94">LEFT(H255,3)*1</f>
        <v>418</v>
      </c>
    </row>
    <row r="256" spans="1:9" x14ac:dyDescent="0.25">
      <c r="A256" s="5">
        <v>417</v>
      </c>
      <c r="B256" s="6">
        <f t="shared" si="92"/>
        <v>417</v>
      </c>
      <c r="C256" s="6"/>
      <c r="D256" s="13" t="s">
        <v>333</v>
      </c>
      <c r="E256" s="13" t="str">
        <f t="shared" si="93"/>
        <v>417 - Quỹ hỗ trợ sắp xếp doanh nghiệp</v>
      </c>
      <c r="F256" s="8" t="str">
        <f t="shared" si="76"/>
        <v>F100</v>
      </c>
      <c r="G256" s="10" t="s">
        <v>296</v>
      </c>
      <c r="H256" s="8" t="s">
        <v>334</v>
      </c>
      <c r="I256" s="10">
        <f t="shared" si="94"/>
        <v>419</v>
      </c>
    </row>
    <row r="257" spans="1:9" x14ac:dyDescent="0.25">
      <c r="A257" s="5">
        <v>418</v>
      </c>
      <c r="B257" s="6">
        <f t="shared" si="92"/>
        <v>418</v>
      </c>
      <c r="C257" s="6"/>
      <c r="D257" s="13" t="s">
        <v>335</v>
      </c>
      <c r="E257" s="13" t="str">
        <f t="shared" si="93"/>
        <v>418 - Các quỹ khác thuộc vốn chủ sở hữu</v>
      </c>
      <c r="F257" s="8" t="str">
        <f t="shared" si="76"/>
        <v>F100</v>
      </c>
      <c r="G257" s="10" t="s">
        <v>296</v>
      </c>
      <c r="H257" s="8" t="s">
        <v>336</v>
      </c>
      <c r="I257" s="10">
        <f t="shared" si="94"/>
        <v>420</v>
      </c>
    </row>
    <row r="258" spans="1:9" x14ac:dyDescent="0.25">
      <c r="A258" s="5">
        <v>419</v>
      </c>
      <c r="B258" s="6">
        <f t="shared" si="92"/>
        <v>419</v>
      </c>
      <c r="C258" s="6"/>
      <c r="D258" s="13" t="s">
        <v>337</v>
      </c>
      <c r="E258" s="13" t="str">
        <f t="shared" si="93"/>
        <v>419 - Cổ phiếu quỹ</v>
      </c>
      <c r="F258" s="8" t="str">
        <f t="shared" si="76"/>
        <v>F100</v>
      </c>
      <c r="G258" s="10" t="s">
        <v>296</v>
      </c>
      <c r="H258" s="8" t="s">
        <v>338</v>
      </c>
      <c r="I258" s="10">
        <f t="shared" si="94"/>
        <v>415</v>
      </c>
    </row>
    <row r="259" spans="1:9" x14ac:dyDescent="0.25">
      <c r="A259" s="5"/>
      <c r="B259" s="6"/>
      <c r="C259" s="6"/>
      <c r="D259" s="13"/>
      <c r="E259" s="13"/>
      <c r="F259" s="8" t="str">
        <f t="shared" si="76"/>
        <v/>
      </c>
      <c r="G259" s="10"/>
      <c r="H259" s="8"/>
      <c r="I259" s="6"/>
    </row>
    <row r="260" spans="1:9" x14ac:dyDescent="0.25">
      <c r="A260" s="5"/>
      <c r="B260" s="6"/>
      <c r="C260" s="6"/>
      <c r="D260" s="12" t="s">
        <v>339</v>
      </c>
      <c r="E260" s="13"/>
      <c r="F260" s="8" t="str">
        <f t="shared" si="76"/>
        <v/>
      </c>
      <c r="G260" s="10"/>
      <c r="H260" s="8"/>
      <c r="I260" s="6"/>
    </row>
    <row r="261" spans="1:9" x14ac:dyDescent="0.25">
      <c r="A261" s="5">
        <v>421</v>
      </c>
      <c r="B261" s="6">
        <v>4211</v>
      </c>
      <c r="C261" s="6"/>
      <c r="D261" s="13" t="s">
        <v>340</v>
      </c>
      <c r="E261" s="13" t="str">
        <f t="shared" ref="E261:E262" si="95">IF(C261="",TEXT(CONCATENATE(B261," ","-"," ",D261),1),TEXT(CONCATENATE(C261," ","-"," ",D261),1))</f>
        <v>4211 - Lợi nhuận sau thuế chưa phân phối năm trước</v>
      </c>
      <c r="F261" s="8" t="str">
        <f t="shared" si="76"/>
        <v>F100</v>
      </c>
      <c r="G261" s="10" t="s">
        <v>296</v>
      </c>
      <c r="H261" s="8" t="s">
        <v>341</v>
      </c>
      <c r="I261" s="10" t="s">
        <v>342</v>
      </c>
    </row>
    <row r="262" spans="1:9" x14ac:dyDescent="0.25">
      <c r="A262" s="5">
        <v>421</v>
      </c>
      <c r="B262" s="6">
        <v>4212</v>
      </c>
      <c r="C262" s="6"/>
      <c r="D262" s="13" t="s">
        <v>343</v>
      </c>
      <c r="E262" s="13" t="str">
        <f t="shared" si="95"/>
        <v>4212 - Lợi nhuận sau thuế chưa phân phối năm nay</v>
      </c>
      <c r="F262" s="8" t="str">
        <f t="shared" si="76"/>
        <v>F100</v>
      </c>
      <c r="G262" s="10" t="s">
        <v>296</v>
      </c>
      <c r="H262" s="8" t="s">
        <v>344</v>
      </c>
      <c r="I262" s="10" t="s">
        <v>345</v>
      </c>
    </row>
    <row r="263" spans="1:9" x14ac:dyDescent="0.25">
      <c r="A263" s="5"/>
      <c r="B263" s="6"/>
      <c r="C263" s="6"/>
      <c r="D263" s="13"/>
      <c r="E263" s="13"/>
      <c r="F263" s="8" t="str">
        <f t="shared" si="76"/>
        <v/>
      </c>
      <c r="G263" s="10"/>
      <c r="H263" s="8"/>
      <c r="I263" s="6"/>
    </row>
    <row r="264" spans="1:9" x14ac:dyDescent="0.25">
      <c r="A264" s="5">
        <v>441</v>
      </c>
      <c r="B264" s="6">
        <f>A264</f>
        <v>441</v>
      </c>
      <c r="C264" s="6"/>
      <c r="D264" s="13" t="s">
        <v>346</v>
      </c>
      <c r="E264" s="13" t="str">
        <f t="shared" ref="E264" si="96">IF(C264="",TEXT(CONCATENATE(B264," ","-"," ",D264),1),TEXT(CONCATENATE(C264," ","-"," ",D264),1))</f>
        <v>441 - Nguồn vốn đầu tư xây dựng cơ bản</v>
      </c>
      <c r="F264" s="8" t="str">
        <f t="shared" si="76"/>
        <v>F100</v>
      </c>
      <c r="G264" s="10" t="s">
        <v>296</v>
      </c>
      <c r="H264" s="8" t="s">
        <v>347</v>
      </c>
      <c r="I264" s="10">
        <f>LEFT(H264,3)*1</f>
        <v>422</v>
      </c>
    </row>
    <row r="265" spans="1:9" x14ac:dyDescent="0.25">
      <c r="A265" s="5"/>
      <c r="B265" s="6"/>
      <c r="C265" s="6"/>
      <c r="D265" s="13"/>
      <c r="E265" s="13"/>
      <c r="F265" s="8" t="str">
        <f t="shared" si="76"/>
        <v/>
      </c>
      <c r="G265" s="10"/>
      <c r="H265" s="8"/>
      <c r="I265" s="6"/>
    </row>
    <row r="266" spans="1:9" x14ac:dyDescent="0.25">
      <c r="A266" s="5"/>
      <c r="B266" s="6"/>
      <c r="C266" s="6"/>
      <c r="D266" s="12" t="s">
        <v>348</v>
      </c>
      <c r="E266" s="13"/>
      <c r="F266" s="8" t="str">
        <f t="shared" si="76"/>
        <v/>
      </c>
      <c r="G266" s="10"/>
      <c r="H266" s="8"/>
      <c r="I266" s="6"/>
    </row>
    <row r="267" spans="1:9" x14ac:dyDescent="0.25">
      <c r="A267" s="5">
        <v>461</v>
      </c>
      <c r="B267" s="6">
        <v>4611</v>
      </c>
      <c r="C267" s="6"/>
      <c r="D267" s="13" t="s">
        <v>349</v>
      </c>
      <c r="E267" s="13" t="str">
        <f t="shared" ref="E267:E268" si="97">IF(C267="",TEXT(CONCATENATE(B267," ","-"," ",D267),1),TEXT(CONCATENATE(C267," ","-"," ",D267),1))</f>
        <v>4611 - Nguồn kinh phí sự nghiệp năm trước</v>
      </c>
      <c r="F267" s="8" t="str">
        <f t="shared" si="76"/>
        <v>F100</v>
      </c>
      <c r="G267" s="10" t="s">
        <v>296</v>
      </c>
      <c r="H267" s="8" t="s">
        <v>111</v>
      </c>
      <c r="I267" s="10">
        <f t="shared" ref="I267:I268" si="98">LEFT(H267,3)*1</f>
        <v>431</v>
      </c>
    </row>
    <row r="268" spans="1:9" x14ac:dyDescent="0.25">
      <c r="A268" s="5">
        <v>461</v>
      </c>
      <c r="B268" s="6">
        <v>4612</v>
      </c>
      <c r="C268" s="6"/>
      <c r="D268" s="13" t="s">
        <v>350</v>
      </c>
      <c r="E268" s="13" t="str">
        <f t="shared" si="97"/>
        <v>4612 - Nguồn kinh phí sự nghiệp năm nay</v>
      </c>
      <c r="F268" s="8" t="str">
        <f t="shared" si="76"/>
        <v>F100</v>
      </c>
      <c r="G268" s="10" t="s">
        <v>296</v>
      </c>
      <c r="H268" s="8" t="s">
        <v>111</v>
      </c>
      <c r="I268" s="10">
        <f t="shared" si="98"/>
        <v>431</v>
      </c>
    </row>
    <row r="269" spans="1:9" x14ac:dyDescent="0.25">
      <c r="A269" s="5"/>
      <c r="B269" s="6"/>
      <c r="C269" s="6"/>
      <c r="D269" s="13"/>
      <c r="E269" s="13"/>
      <c r="F269" s="8" t="str">
        <f t="shared" si="76"/>
        <v/>
      </c>
      <c r="G269" s="10"/>
      <c r="H269" s="8"/>
      <c r="I269" s="6"/>
    </row>
    <row r="270" spans="1:9" x14ac:dyDescent="0.25">
      <c r="A270" s="5">
        <v>466</v>
      </c>
      <c r="B270" s="6">
        <f>A270</f>
        <v>466</v>
      </c>
      <c r="C270" s="6"/>
      <c r="D270" s="13" t="s">
        <v>351</v>
      </c>
      <c r="E270" s="13" t="str">
        <f t="shared" ref="E270" si="99">IF(C270="",TEXT(CONCATENATE(B270," ","-"," ",D270),1),TEXT(CONCATENATE(C270," ","-"," ",D270),1))</f>
        <v>466 - Nguồn kinh phí đã hình thành TSCĐ</v>
      </c>
      <c r="F270" s="8" t="str">
        <f t="shared" si="76"/>
        <v>F100</v>
      </c>
      <c r="G270" s="10" t="s">
        <v>296</v>
      </c>
      <c r="H270" s="8" t="s">
        <v>352</v>
      </c>
      <c r="I270" s="10">
        <f>LEFT(H270,3)*1</f>
        <v>432</v>
      </c>
    </row>
    <row r="271" spans="1:9" x14ac:dyDescent="0.25">
      <c r="A271" s="5"/>
      <c r="B271" s="6"/>
      <c r="C271" s="6"/>
      <c r="D271" s="11"/>
      <c r="E271" s="11"/>
      <c r="F271" s="8" t="str">
        <f t="shared" si="76"/>
        <v/>
      </c>
      <c r="G271" s="10"/>
      <c r="H271" s="8"/>
      <c r="I271" s="6"/>
    </row>
    <row r="272" spans="1:9" x14ac:dyDescent="0.25">
      <c r="A272" s="5"/>
      <c r="B272" s="6"/>
      <c r="C272" s="6"/>
      <c r="D272" s="7"/>
      <c r="E272" s="7"/>
      <c r="F272" s="8" t="str">
        <f t="shared" si="76"/>
        <v/>
      </c>
      <c r="G272" s="10"/>
      <c r="H272" s="8"/>
      <c r="I272" s="6"/>
    </row>
    <row r="273" spans="1:9" x14ac:dyDescent="0.25">
      <c r="A273" s="5"/>
      <c r="B273" s="6"/>
      <c r="C273" s="6"/>
      <c r="D273" s="9" t="s">
        <v>353</v>
      </c>
      <c r="E273" s="7"/>
      <c r="F273" s="8" t="str">
        <f t="shared" si="76"/>
        <v/>
      </c>
      <c r="G273" s="10"/>
      <c r="H273" s="8"/>
      <c r="I273" s="6"/>
    </row>
    <row r="274" spans="1:9" x14ac:dyDescent="0.25">
      <c r="A274" s="5"/>
      <c r="B274" s="6"/>
      <c r="C274" s="6"/>
      <c r="D274" s="11"/>
      <c r="E274" s="11"/>
      <c r="F274" s="8" t="str">
        <f t="shared" si="76"/>
        <v/>
      </c>
      <c r="G274" s="10"/>
      <c r="H274" s="8"/>
      <c r="I274" s="6"/>
    </row>
    <row r="275" spans="1:9" x14ac:dyDescent="0.25">
      <c r="A275" s="5"/>
      <c r="B275" s="6"/>
      <c r="C275" s="6"/>
      <c r="D275" s="12" t="s">
        <v>354</v>
      </c>
      <c r="E275" s="13"/>
      <c r="F275" s="8" t="str">
        <f t="shared" si="76"/>
        <v/>
      </c>
      <c r="G275" s="10"/>
      <c r="H275" s="8"/>
      <c r="I275" s="6"/>
    </row>
    <row r="276" spans="1:9" x14ac:dyDescent="0.25">
      <c r="A276" s="5">
        <v>511</v>
      </c>
      <c r="B276" s="6">
        <v>5111</v>
      </c>
      <c r="C276" s="6"/>
      <c r="D276" s="13" t="s">
        <v>355</v>
      </c>
      <c r="E276" s="13" t="str">
        <f t="shared" ref="E276:E281" si="100">IF(C276="",TEXT(CONCATENATE(B276," ","-"," ",D276),1),TEXT(CONCATENATE(C276," ","-"," ",D276),1))</f>
        <v>5111 - Doanh thu bán hàng hóa</v>
      </c>
      <c r="F276" s="8" t="str">
        <f t="shared" si="76"/>
        <v>G100</v>
      </c>
      <c r="G276" s="10" t="s">
        <v>356</v>
      </c>
      <c r="H276" s="8" t="s">
        <v>357</v>
      </c>
      <c r="I276" s="10" t="s">
        <v>358</v>
      </c>
    </row>
    <row r="277" spans="1:9" x14ac:dyDescent="0.25">
      <c r="A277" s="5">
        <v>511</v>
      </c>
      <c r="B277" s="6">
        <v>5112</v>
      </c>
      <c r="C277" s="6"/>
      <c r="D277" s="13" t="s">
        <v>359</v>
      </c>
      <c r="E277" s="13" t="str">
        <f t="shared" si="100"/>
        <v>5112 - Doanh thu bán các thành phẩm</v>
      </c>
      <c r="F277" s="8" t="str">
        <f t="shared" si="76"/>
        <v>G100</v>
      </c>
      <c r="G277" s="10" t="s">
        <v>356</v>
      </c>
      <c r="H277" s="8" t="s">
        <v>357</v>
      </c>
      <c r="I277" s="10" t="s">
        <v>358</v>
      </c>
    </row>
    <row r="278" spans="1:9" x14ac:dyDescent="0.25">
      <c r="A278" s="5">
        <v>511</v>
      </c>
      <c r="B278" s="6">
        <v>5113</v>
      </c>
      <c r="C278" s="6"/>
      <c r="D278" s="13" t="s">
        <v>360</v>
      </c>
      <c r="E278" s="13" t="str">
        <f t="shared" si="100"/>
        <v>5113 - Doanh thu cung cấp dịch vụ</v>
      </c>
      <c r="F278" s="8" t="str">
        <f t="shared" ref="F278:F359" si="101">LEFT(G278,4)</f>
        <v>G100</v>
      </c>
      <c r="G278" s="10" t="s">
        <v>356</v>
      </c>
      <c r="H278" s="8" t="s">
        <v>357</v>
      </c>
      <c r="I278" s="10" t="s">
        <v>358</v>
      </c>
    </row>
    <row r="279" spans="1:9" x14ac:dyDescent="0.25">
      <c r="A279" s="5">
        <v>511</v>
      </c>
      <c r="B279" s="6">
        <v>5114</v>
      </c>
      <c r="C279" s="6"/>
      <c r="D279" s="13" t="s">
        <v>361</v>
      </c>
      <c r="E279" s="13" t="str">
        <f t="shared" si="100"/>
        <v>5114 - Doanh thu trợ cấp, trợ giá</v>
      </c>
      <c r="F279" s="8" t="str">
        <f t="shared" si="101"/>
        <v>G100</v>
      </c>
      <c r="G279" s="10" t="s">
        <v>356</v>
      </c>
      <c r="H279" s="8" t="s">
        <v>357</v>
      </c>
      <c r="I279" s="10" t="s">
        <v>358</v>
      </c>
    </row>
    <row r="280" spans="1:9" x14ac:dyDescent="0.25">
      <c r="A280" s="5">
        <v>511</v>
      </c>
      <c r="B280" s="6">
        <v>5117</v>
      </c>
      <c r="C280" s="6"/>
      <c r="D280" s="13" t="s">
        <v>362</v>
      </c>
      <c r="E280" s="13" t="str">
        <f t="shared" si="100"/>
        <v>5117 - Doanh thu kinh doanh bất động sản đầu tư</v>
      </c>
      <c r="F280" s="8" t="str">
        <f t="shared" si="101"/>
        <v>G100</v>
      </c>
      <c r="G280" s="10" t="s">
        <v>356</v>
      </c>
      <c r="H280" s="8" t="s">
        <v>357</v>
      </c>
      <c r="I280" s="10" t="s">
        <v>358</v>
      </c>
    </row>
    <row r="281" spans="1:9" x14ac:dyDescent="0.25">
      <c r="A281" s="5">
        <v>511</v>
      </c>
      <c r="B281" s="6">
        <v>5118</v>
      </c>
      <c r="C281" s="6"/>
      <c r="D281" s="13" t="s">
        <v>363</v>
      </c>
      <c r="E281" s="13" t="str">
        <f t="shared" si="100"/>
        <v>5118 - Doanh thu khác</v>
      </c>
      <c r="F281" s="8" t="str">
        <f t="shared" si="101"/>
        <v>G100</v>
      </c>
      <c r="G281" s="10" t="s">
        <v>356</v>
      </c>
      <c r="H281" s="8" t="s">
        <v>357</v>
      </c>
      <c r="I281" s="10" t="s">
        <v>358</v>
      </c>
    </row>
    <row r="282" spans="1:9" x14ac:dyDescent="0.25">
      <c r="A282" s="5"/>
      <c r="B282" s="6"/>
      <c r="C282" s="6"/>
      <c r="D282" s="13"/>
      <c r="E282" s="13"/>
      <c r="F282" s="8" t="str">
        <f t="shared" si="101"/>
        <v/>
      </c>
      <c r="G282" s="10"/>
      <c r="H282" s="8"/>
      <c r="I282" s="6"/>
    </row>
    <row r="283" spans="1:9" x14ac:dyDescent="0.25">
      <c r="A283" s="5">
        <v>515</v>
      </c>
      <c r="B283" s="6">
        <f>A283</f>
        <v>515</v>
      </c>
      <c r="C283" s="6"/>
      <c r="D283" s="13" t="s">
        <v>364</v>
      </c>
      <c r="E283" s="13" t="str">
        <f t="shared" ref="E283:E289" si="102">IF(C283="",TEXT(CONCATENATE(B283," ","-"," ",D283),1),TEXT(CONCATENATE(C283," ","-"," ",D283),1))</f>
        <v xml:space="preserve">515 - Doanh thu hoạt động tài chính </v>
      </c>
      <c r="F283" s="8" t="str">
        <f t="shared" si="101"/>
        <v>G200</v>
      </c>
      <c r="G283" s="10" t="s">
        <v>365</v>
      </c>
      <c r="H283" s="8" t="s">
        <v>366</v>
      </c>
      <c r="I283" s="10">
        <f t="shared" ref="I283:I289" si="103">LEFT(H283,3)*1</f>
        <v>21</v>
      </c>
    </row>
    <row r="284" spans="1:9" x14ac:dyDescent="0.25">
      <c r="A284" s="5">
        <v>515</v>
      </c>
      <c r="B284" s="6">
        <v>5151</v>
      </c>
      <c r="C284" s="6"/>
      <c r="D284" s="13" t="s">
        <v>367</v>
      </c>
      <c r="E284" s="13" t="str">
        <f t="shared" si="102"/>
        <v>5151 - Lãi tiền gửi</v>
      </c>
      <c r="F284" s="8" t="str">
        <f t="shared" si="101"/>
        <v>G200</v>
      </c>
      <c r="G284" s="10" t="s">
        <v>365</v>
      </c>
      <c r="H284" s="8" t="s">
        <v>366</v>
      </c>
      <c r="I284" s="10">
        <f t="shared" si="103"/>
        <v>21</v>
      </c>
    </row>
    <row r="285" spans="1:9" x14ac:dyDescent="0.25">
      <c r="A285" s="5">
        <v>515</v>
      </c>
      <c r="B285" s="6">
        <v>5152</v>
      </c>
      <c r="C285" s="6"/>
      <c r="D285" s="13" t="s">
        <v>368</v>
      </c>
      <c r="E285" s="13" t="str">
        <f t="shared" si="102"/>
        <v>5152 - Lãi chênh lệch tỷ giá đã thực hiện</v>
      </c>
      <c r="F285" s="8" t="str">
        <f t="shared" si="101"/>
        <v>G200</v>
      </c>
      <c r="G285" s="10" t="s">
        <v>365</v>
      </c>
      <c r="H285" s="8" t="s">
        <v>366</v>
      </c>
      <c r="I285" s="10">
        <f t="shared" si="103"/>
        <v>21</v>
      </c>
    </row>
    <row r="286" spans="1:9" x14ac:dyDescent="0.25">
      <c r="A286" s="5">
        <v>515</v>
      </c>
      <c r="B286" s="6">
        <v>5153</v>
      </c>
      <c r="C286" s="6"/>
      <c r="D286" s="13" t="s">
        <v>369</v>
      </c>
      <c r="E286" s="13" t="str">
        <f t="shared" si="102"/>
        <v>5153 - Lãi chênh lệch tỷ giá chưa thực hiện</v>
      </c>
      <c r="F286" s="8" t="str">
        <f t="shared" si="101"/>
        <v>G200</v>
      </c>
      <c r="G286" s="10" t="s">
        <v>365</v>
      </c>
      <c r="H286" s="8" t="s">
        <v>366</v>
      </c>
      <c r="I286" s="10">
        <f t="shared" si="103"/>
        <v>21</v>
      </c>
    </row>
    <row r="287" spans="1:9" x14ac:dyDescent="0.25">
      <c r="A287" s="5">
        <v>515</v>
      </c>
      <c r="B287" s="6">
        <v>5154</v>
      </c>
      <c r="C287" s="6"/>
      <c r="D287" s="13" t="s">
        <v>370</v>
      </c>
      <c r="E287" s="13" t="str">
        <f t="shared" si="102"/>
        <v>5154 - Cổ tức, lợi nhuận được chia</v>
      </c>
      <c r="F287" s="8" t="str">
        <f t="shared" si="101"/>
        <v>G200</v>
      </c>
      <c r="G287" s="10" t="s">
        <v>365</v>
      </c>
      <c r="H287" s="8" t="s">
        <v>366</v>
      </c>
      <c r="I287" s="10">
        <f t="shared" si="103"/>
        <v>21</v>
      </c>
    </row>
    <row r="288" spans="1:9" x14ac:dyDescent="0.25">
      <c r="A288" s="5">
        <v>515</v>
      </c>
      <c r="B288" s="6">
        <v>5155</v>
      </c>
      <c r="C288" s="6"/>
      <c r="D288" s="13" t="s">
        <v>371</v>
      </c>
      <c r="E288" s="13" t="str">
        <f t="shared" si="102"/>
        <v>5155 - Lãi thanh lý các khoản đầu tư tài chính</v>
      </c>
      <c r="F288" s="8" t="str">
        <f t="shared" si="101"/>
        <v>G200</v>
      </c>
      <c r="G288" s="10" t="s">
        <v>365</v>
      </c>
      <c r="H288" s="8" t="s">
        <v>366</v>
      </c>
      <c r="I288" s="10">
        <f t="shared" si="103"/>
        <v>21</v>
      </c>
    </row>
    <row r="289" spans="1:9" x14ac:dyDescent="0.25">
      <c r="A289" s="5">
        <v>515</v>
      </c>
      <c r="B289" s="6">
        <v>5159</v>
      </c>
      <c r="C289" s="6"/>
      <c r="D289" s="13" t="s">
        <v>372</v>
      </c>
      <c r="E289" s="13" t="str">
        <f t="shared" si="102"/>
        <v>5159 - Doanh thu hoạt động tài chính xác</v>
      </c>
      <c r="F289" s="8" t="str">
        <f t="shared" si="101"/>
        <v>G200</v>
      </c>
      <c r="G289" s="10" t="s">
        <v>365</v>
      </c>
      <c r="H289" s="8" t="s">
        <v>366</v>
      </c>
      <c r="I289" s="10">
        <f t="shared" si="103"/>
        <v>21</v>
      </c>
    </row>
    <row r="290" spans="1:9" x14ac:dyDescent="0.25">
      <c r="A290" s="5"/>
      <c r="B290" s="6"/>
      <c r="C290" s="6"/>
      <c r="D290" s="13"/>
      <c r="E290" s="13"/>
      <c r="F290" s="8" t="str">
        <f t="shared" si="101"/>
        <v/>
      </c>
      <c r="G290" s="10"/>
      <c r="H290" s="8"/>
      <c r="I290" s="6"/>
    </row>
    <row r="291" spans="1:9" x14ac:dyDescent="0.25">
      <c r="A291" s="5"/>
      <c r="B291" s="6"/>
      <c r="C291" s="6"/>
      <c r="D291" s="12" t="s">
        <v>373</v>
      </c>
      <c r="E291" s="13"/>
      <c r="F291" s="8"/>
      <c r="G291" s="10"/>
      <c r="H291" s="8"/>
      <c r="I291" s="6"/>
    </row>
    <row r="292" spans="1:9" x14ac:dyDescent="0.25">
      <c r="A292" s="5">
        <v>521</v>
      </c>
      <c r="B292" s="6">
        <v>5211</v>
      </c>
      <c r="C292" s="6"/>
      <c r="D292" s="13" t="s">
        <v>374</v>
      </c>
      <c r="E292" s="13" t="str">
        <f t="shared" ref="E292:E294" si="104">IF(C292="",TEXT(CONCATENATE(B292," ","-"," ",D292),1),TEXT(CONCATENATE(C292," ","-"," ",D292),1))</f>
        <v>5211 - Chiết khấu thương mại</v>
      </c>
      <c r="F292" s="8" t="str">
        <f t="shared" si="101"/>
        <v>G100</v>
      </c>
      <c r="G292" s="10" t="s">
        <v>356</v>
      </c>
      <c r="H292" s="8" t="s">
        <v>375</v>
      </c>
      <c r="I292" s="10" t="s">
        <v>376</v>
      </c>
    </row>
    <row r="293" spans="1:9" x14ac:dyDescent="0.25">
      <c r="A293" s="5">
        <v>521</v>
      </c>
      <c r="B293" s="6">
        <v>5212</v>
      </c>
      <c r="C293" s="6"/>
      <c r="D293" s="13" t="s">
        <v>377</v>
      </c>
      <c r="E293" s="13" t="str">
        <f t="shared" si="104"/>
        <v>5212 - Giảm giá hàng bán</v>
      </c>
      <c r="F293" s="8" t="str">
        <f t="shared" si="101"/>
        <v>G100</v>
      </c>
      <c r="G293" s="10" t="s">
        <v>356</v>
      </c>
      <c r="H293" s="8" t="s">
        <v>375</v>
      </c>
      <c r="I293" s="10" t="s">
        <v>376</v>
      </c>
    </row>
    <row r="294" spans="1:9" x14ac:dyDescent="0.25">
      <c r="A294" s="5">
        <v>521</v>
      </c>
      <c r="B294" s="6">
        <v>5213</v>
      </c>
      <c r="C294" s="6"/>
      <c r="D294" s="13" t="s">
        <v>378</v>
      </c>
      <c r="E294" s="13" t="str">
        <f t="shared" si="104"/>
        <v>5213 - Hàng bán bị trả lại</v>
      </c>
      <c r="F294" s="8" t="str">
        <f t="shared" si="101"/>
        <v>G100</v>
      </c>
      <c r="G294" s="10" t="s">
        <v>356</v>
      </c>
      <c r="H294" s="8" t="s">
        <v>375</v>
      </c>
      <c r="I294" s="10" t="s">
        <v>376</v>
      </c>
    </row>
    <row r="295" spans="1:9" x14ac:dyDescent="0.25">
      <c r="A295" s="5"/>
      <c r="B295" s="6"/>
      <c r="C295" s="6"/>
      <c r="D295" s="7"/>
      <c r="E295" s="7"/>
      <c r="F295" s="8" t="str">
        <f t="shared" si="101"/>
        <v/>
      </c>
      <c r="G295" s="10"/>
      <c r="H295" s="8"/>
      <c r="I295" s="6"/>
    </row>
    <row r="296" spans="1:9" x14ac:dyDescent="0.25">
      <c r="A296" s="5"/>
      <c r="B296" s="6"/>
      <c r="C296" s="6"/>
      <c r="D296" s="9" t="s">
        <v>379</v>
      </c>
      <c r="E296" s="7"/>
      <c r="F296" s="8" t="str">
        <f t="shared" si="101"/>
        <v/>
      </c>
      <c r="G296" s="10"/>
      <c r="H296" s="8"/>
      <c r="I296" s="6"/>
    </row>
    <row r="297" spans="1:9" x14ac:dyDescent="0.25">
      <c r="A297" s="5"/>
      <c r="B297" s="6"/>
      <c r="C297" s="6"/>
      <c r="D297" s="13"/>
      <c r="E297" s="13"/>
      <c r="F297" s="8" t="str">
        <f t="shared" si="101"/>
        <v/>
      </c>
      <c r="G297" s="10"/>
      <c r="H297" s="8"/>
      <c r="I297" s="6"/>
    </row>
    <row r="298" spans="1:9" x14ac:dyDescent="0.25">
      <c r="A298" s="5">
        <v>611</v>
      </c>
      <c r="B298" s="6">
        <f>A298</f>
        <v>611</v>
      </c>
      <c r="C298" s="6"/>
      <c r="D298" s="13" t="s">
        <v>380</v>
      </c>
      <c r="E298" s="13" t="str">
        <f t="shared" ref="E298" si="105">IF(C298="",TEXT(CONCATENATE(B298," ","-"," ",D298),1),TEXT(CONCATENATE(C298," ","-"," ",D298),1))</f>
        <v>611 - Mua hàng</v>
      </c>
      <c r="F298" s="8" t="str">
        <f t="shared" si="101"/>
        <v/>
      </c>
      <c r="G298" s="10"/>
      <c r="H298" s="8"/>
      <c r="I298" s="6" t="str">
        <f>LEFT(H298,2)</f>
        <v/>
      </c>
    </row>
    <row r="299" spans="1:9" x14ac:dyDescent="0.25">
      <c r="A299" s="5"/>
      <c r="B299" s="6">
        <v>6111</v>
      </c>
      <c r="C299" s="6"/>
      <c r="D299" s="13" t="s">
        <v>381</v>
      </c>
      <c r="E299" s="13"/>
      <c r="F299" s="8" t="str">
        <f t="shared" si="101"/>
        <v/>
      </c>
      <c r="G299" s="10"/>
      <c r="H299" s="8"/>
      <c r="I299" s="6"/>
    </row>
    <row r="300" spans="1:9" x14ac:dyDescent="0.25">
      <c r="A300" s="5"/>
      <c r="B300" s="6">
        <v>6112</v>
      </c>
      <c r="C300" s="6"/>
      <c r="D300" s="13" t="s">
        <v>382</v>
      </c>
      <c r="E300" s="13"/>
      <c r="F300" s="8" t="str">
        <f t="shared" si="101"/>
        <v/>
      </c>
      <c r="G300" s="10"/>
      <c r="H300" s="8"/>
      <c r="I300" s="6"/>
    </row>
    <row r="301" spans="1:9" x14ac:dyDescent="0.25">
      <c r="A301" s="5">
        <v>621</v>
      </c>
      <c r="B301" s="6">
        <f t="shared" ref="B301:B303" si="106">A301</f>
        <v>621</v>
      </c>
      <c r="C301" s="6"/>
      <c r="D301" s="13" t="s">
        <v>383</v>
      </c>
      <c r="E301" s="13" t="str">
        <f t="shared" ref="E301:E303" si="107">IF(C301="",TEXT(CONCATENATE(B301," ","-"," ",D301),1),TEXT(CONCATENATE(C301," ","-"," ",D301),1))</f>
        <v>621 - Chi phí nguyên liệu, vật liệu trực tiếp</v>
      </c>
      <c r="F301" s="8" t="str">
        <f t="shared" si="101"/>
        <v/>
      </c>
      <c r="G301" s="10"/>
      <c r="H301" s="8"/>
      <c r="I301" s="6" t="str">
        <f t="shared" ref="I301:I303" si="108">LEFT(H301,2)</f>
        <v/>
      </c>
    </row>
    <row r="302" spans="1:9" x14ac:dyDescent="0.25">
      <c r="A302" s="5">
        <v>622</v>
      </c>
      <c r="B302" s="6">
        <f t="shared" si="106"/>
        <v>622</v>
      </c>
      <c r="C302" s="6"/>
      <c r="D302" s="13" t="s">
        <v>384</v>
      </c>
      <c r="E302" s="13" t="str">
        <f t="shared" si="107"/>
        <v>622 - Chi phí nhân công trực tiếp</v>
      </c>
      <c r="F302" s="8" t="str">
        <f t="shared" si="101"/>
        <v/>
      </c>
      <c r="G302" s="10"/>
      <c r="H302" s="8"/>
      <c r="I302" s="6" t="str">
        <f t="shared" si="108"/>
        <v/>
      </c>
    </row>
    <row r="303" spans="1:9" x14ac:dyDescent="0.25">
      <c r="A303" s="5">
        <v>623</v>
      </c>
      <c r="B303" s="6">
        <f t="shared" si="106"/>
        <v>623</v>
      </c>
      <c r="C303" s="6"/>
      <c r="D303" s="13" t="s">
        <v>385</v>
      </c>
      <c r="E303" s="13" t="str">
        <f t="shared" si="107"/>
        <v>623 - Chi phí sử dụng máy thi công</v>
      </c>
      <c r="F303" s="8" t="str">
        <f t="shared" si="101"/>
        <v/>
      </c>
      <c r="G303" s="10"/>
      <c r="H303" s="8"/>
      <c r="I303" s="6" t="str">
        <f t="shared" si="108"/>
        <v/>
      </c>
    </row>
    <row r="304" spans="1:9" x14ac:dyDescent="0.25">
      <c r="A304" s="5"/>
      <c r="B304" s="6">
        <v>6231</v>
      </c>
      <c r="C304" s="6"/>
      <c r="D304" s="13" t="s">
        <v>386</v>
      </c>
      <c r="E304" s="13"/>
      <c r="F304" s="8" t="str">
        <f t="shared" si="101"/>
        <v/>
      </c>
      <c r="G304" s="10"/>
      <c r="H304" s="8"/>
      <c r="I304" s="6"/>
    </row>
    <row r="305" spans="1:9" x14ac:dyDescent="0.25">
      <c r="A305" s="5"/>
      <c r="B305" s="6">
        <v>6232</v>
      </c>
      <c r="C305" s="6"/>
      <c r="D305" s="13" t="s">
        <v>387</v>
      </c>
      <c r="E305" s="13"/>
      <c r="F305" s="8" t="str">
        <f t="shared" si="101"/>
        <v/>
      </c>
      <c r="G305" s="10"/>
      <c r="H305" s="8"/>
      <c r="I305" s="6"/>
    </row>
    <row r="306" spans="1:9" x14ac:dyDescent="0.25">
      <c r="A306" s="5"/>
      <c r="B306" s="6">
        <v>6233</v>
      </c>
      <c r="C306" s="6"/>
      <c r="D306" s="13" t="s">
        <v>388</v>
      </c>
      <c r="E306" s="13"/>
      <c r="F306" s="8" t="str">
        <f t="shared" si="101"/>
        <v/>
      </c>
      <c r="G306" s="10"/>
      <c r="H306" s="8"/>
      <c r="I306" s="6"/>
    </row>
    <row r="307" spans="1:9" x14ac:dyDescent="0.25">
      <c r="A307" s="5"/>
      <c r="B307" s="6">
        <v>6234</v>
      </c>
      <c r="C307" s="6"/>
      <c r="D307" s="13" t="s">
        <v>389</v>
      </c>
      <c r="E307" s="13"/>
      <c r="F307" s="8" t="str">
        <f t="shared" si="101"/>
        <v/>
      </c>
      <c r="G307" s="10"/>
      <c r="H307" s="8"/>
      <c r="I307" s="6"/>
    </row>
    <row r="308" spans="1:9" x14ac:dyDescent="0.25">
      <c r="A308" s="5"/>
      <c r="B308" s="6">
        <v>6237</v>
      </c>
      <c r="C308" s="6"/>
      <c r="D308" s="13" t="s">
        <v>390</v>
      </c>
      <c r="E308" s="13"/>
      <c r="F308" s="8" t="str">
        <f t="shared" si="101"/>
        <v/>
      </c>
      <c r="G308" s="10"/>
      <c r="H308" s="8"/>
      <c r="I308" s="6"/>
    </row>
    <row r="309" spans="1:9" x14ac:dyDescent="0.25">
      <c r="A309" s="5"/>
      <c r="B309" s="6">
        <v>6238</v>
      </c>
      <c r="C309" s="6"/>
      <c r="D309" s="13" t="s">
        <v>391</v>
      </c>
      <c r="E309" s="13"/>
      <c r="F309" s="8" t="str">
        <f t="shared" si="101"/>
        <v/>
      </c>
      <c r="G309" s="10"/>
      <c r="H309" s="8"/>
      <c r="I309" s="6"/>
    </row>
    <row r="310" spans="1:9" x14ac:dyDescent="0.25">
      <c r="A310" s="5"/>
      <c r="B310" s="6"/>
      <c r="C310" s="6"/>
      <c r="D310" s="13"/>
      <c r="E310" s="13"/>
      <c r="F310" s="8" t="str">
        <f t="shared" si="101"/>
        <v/>
      </c>
      <c r="G310" s="10"/>
      <c r="H310" s="8"/>
      <c r="I310" s="6"/>
    </row>
    <row r="311" spans="1:9" x14ac:dyDescent="0.25">
      <c r="A311" s="5">
        <v>627</v>
      </c>
      <c r="B311" s="6">
        <f>A311</f>
        <v>627</v>
      </c>
      <c r="C311" s="6"/>
      <c r="D311" s="13" t="s">
        <v>392</v>
      </c>
      <c r="E311" s="13" t="str">
        <f t="shared" ref="E311" si="109">IF(C311="",TEXT(CONCATENATE(B311," ","-"," ",D311),1),TEXT(CONCATENATE(C311," ","-"," ",D311),1))</f>
        <v>627 - Chi phí sản xuất chung</v>
      </c>
      <c r="F311" s="8" t="str">
        <f t="shared" si="101"/>
        <v/>
      </c>
      <c r="G311" s="10"/>
      <c r="H311" s="8"/>
      <c r="I311" s="6" t="str">
        <f>LEFT(H311,2)</f>
        <v/>
      </c>
    </row>
    <row r="312" spans="1:9" x14ac:dyDescent="0.25">
      <c r="A312" s="5"/>
      <c r="B312" s="6">
        <v>6231</v>
      </c>
      <c r="C312" s="6"/>
      <c r="D312" s="13" t="s">
        <v>393</v>
      </c>
      <c r="E312" s="13"/>
      <c r="F312" s="8" t="str">
        <f t="shared" si="101"/>
        <v/>
      </c>
      <c r="G312" s="10"/>
      <c r="H312" s="8"/>
      <c r="I312" s="6"/>
    </row>
    <row r="313" spans="1:9" x14ac:dyDescent="0.25">
      <c r="A313" s="5"/>
      <c r="B313" s="6">
        <v>6232</v>
      </c>
      <c r="C313" s="6"/>
      <c r="D313" s="13" t="s">
        <v>387</v>
      </c>
      <c r="E313" s="13"/>
      <c r="F313" s="8" t="str">
        <f t="shared" si="101"/>
        <v/>
      </c>
      <c r="G313" s="10"/>
      <c r="H313" s="8"/>
      <c r="I313" s="6"/>
    </row>
    <row r="314" spans="1:9" x14ac:dyDescent="0.25">
      <c r="A314" s="5"/>
      <c r="B314" s="6">
        <v>6233</v>
      </c>
      <c r="C314" s="6"/>
      <c r="D314" s="13" t="s">
        <v>388</v>
      </c>
      <c r="E314" s="13"/>
      <c r="F314" s="8" t="str">
        <f t="shared" si="101"/>
        <v/>
      </c>
      <c r="G314" s="10"/>
      <c r="H314" s="8"/>
      <c r="I314" s="6"/>
    </row>
    <row r="315" spans="1:9" x14ac:dyDescent="0.25">
      <c r="A315" s="5"/>
      <c r="B315" s="6">
        <v>6234</v>
      </c>
      <c r="C315" s="6"/>
      <c r="D315" s="13" t="s">
        <v>394</v>
      </c>
      <c r="E315" s="13"/>
      <c r="F315" s="8" t="str">
        <f t="shared" si="101"/>
        <v/>
      </c>
      <c r="G315" s="10"/>
      <c r="H315" s="8"/>
      <c r="I315" s="6"/>
    </row>
    <row r="316" spans="1:9" x14ac:dyDescent="0.25">
      <c r="A316" s="5"/>
      <c r="B316" s="6">
        <v>6237</v>
      </c>
      <c r="C316" s="6"/>
      <c r="D316" s="13" t="s">
        <v>390</v>
      </c>
      <c r="E316" s="13"/>
      <c r="F316" s="8" t="str">
        <f t="shared" si="101"/>
        <v/>
      </c>
      <c r="G316" s="10"/>
      <c r="H316" s="8"/>
      <c r="I316" s="6"/>
    </row>
    <row r="317" spans="1:9" x14ac:dyDescent="0.25">
      <c r="A317" s="5"/>
      <c r="B317" s="6">
        <v>6238</v>
      </c>
      <c r="C317" s="6"/>
      <c r="D317" s="13" t="s">
        <v>391</v>
      </c>
      <c r="E317" s="13"/>
      <c r="F317" s="8" t="str">
        <f t="shared" si="101"/>
        <v/>
      </c>
      <c r="G317" s="10"/>
      <c r="H317" s="8"/>
      <c r="I317" s="6"/>
    </row>
    <row r="318" spans="1:9" x14ac:dyDescent="0.25">
      <c r="A318" s="5"/>
      <c r="B318" s="6"/>
      <c r="C318" s="6"/>
      <c r="D318" s="13"/>
      <c r="E318" s="13"/>
      <c r="F318" s="8" t="str">
        <f t="shared" si="101"/>
        <v/>
      </c>
      <c r="G318" s="10"/>
      <c r="H318" s="8"/>
      <c r="I318" s="6"/>
    </row>
    <row r="319" spans="1:9" x14ac:dyDescent="0.25">
      <c r="A319" s="5">
        <v>631</v>
      </c>
      <c r="B319" s="6">
        <f t="shared" ref="B319:B321" si="110">A319</f>
        <v>631</v>
      </c>
      <c r="C319" s="6"/>
      <c r="D319" s="13" t="s">
        <v>395</v>
      </c>
      <c r="E319" s="13" t="str">
        <f t="shared" ref="E319" si="111">IF(C319="",TEXT(CONCATENATE(B319," ","-"," ",D319),1),TEXT(CONCATENATE(C319," ","-"," ",D319),1))</f>
        <v>631 - Giá thành sản xuất</v>
      </c>
      <c r="F319" s="8" t="str">
        <f t="shared" si="101"/>
        <v/>
      </c>
      <c r="G319" s="10"/>
      <c r="H319" s="8"/>
      <c r="I319" s="6" t="str">
        <f>LEFT(H319,2)</f>
        <v/>
      </c>
    </row>
    <row r="320" spans="1:9" x14ac:dyDescent="0.25">
      <c r="A320" s="5"/>
      <c r="B320" s="6"/>
      <c r="C320" s="6"/>
      <c r="D320" s="13"/>
      <c r="E320" s="13"/>
      <c r="F320" s="8" t="str">
        <f t="shared" si="101"/>
        <v/>
      </c>
      <c r="G320" s="10"/>
      <c r="H320" s="8"/>
      <c r="I320" s="6"/>
    </row>
    <row r="321" spans="1:9" x14ac:dyDescent="0.25">
      <c r="A321" s="5">
        <v>632</v>
      </c>
      <c r="B321" s="6">
        <f t="shared" si="110"/>
        <v>632</v>
      </c>
      <c r="C321" s="6"/>
      <c r="D321" s="13" t="s">
        <v>396</v>
      </c>
      <c r="E321" s="13" t="str">
        <f t="shared" ref="E321:E326" si="112">IF(C321="",TEXT(CONCATENATE(B321," ","-"," ",D321),1),TEXT(CONCATENATE(C321," ","-"," ",D321),1))</f>
        <v>632 - Giá vốn hàng bán</v>
      </c>
      <c r="F321" s="8" t="str">
        <f t="shared" si="101"/>
        <v>G100</v>
      </c>
      <c r="G321" s="10" t="s">
        <v>356</v>
      </c>
      <c r="H321" s="8" t="s">
        <v>397</v>
      </c>
      <c r="I321" s="10">
        <f>LEFT(H321,3)*1</f>
        <v>11</v>
      </c>
    </row>
    <row r="322" spans="1:9" x14ac:dyDescent="0.25">
      <c r="A322" s="5">
        <v>632</v>
      </c>
      <c r="B322" s="6">
        <v>6321</v>
      </c>
      <c r="C322" s="6"/>
      <c r="D322" s="13" t="s">
        <v>398</v>
      </c>
      <c r="E322" s="13" t="str">
        <f t="shared" si="112"/>
        <v>6321 - Giá vốn bán hàng hóa</v>
      </c>
      <c r="F322" s="8" t="str">
        <f t="shared" si="101"/>
        <v>G100</v>
      </c>
      <c r="G322" s="10" t="s">
        <v>356</v>
      </c>
      <c r="H322" s="8" t="s">
        <v>397</v>
      </c>
      <c r="I322" s="10">
        <f t="shared" ref="I322:I326" si="113">LEFT(H322,3)*1</f>
        <v>11</v>
      </c>
    </row>
    <row r="323" spans="1:9" x14ac:dyDescent="0.25">
      <c r="A323" s="5">
        <v>632</v>
      </c>
      <c r="B323" s="6">
        <v>6322</v>
      </c>
      <c r="C323" s="6"/>
      <c r="D323" s="13" t="s">
        <v>399</v>
      </c>
      <c r="E323" s="13" t="str">
        <f t="shared" si="112"/>
        <v>6322 - Giá vốn bán các thành phẩm</v>
      </c>
      <c r="F323" s="8" t="str">
        <f t="shared" si="101"/>
        <v>G100</v>
      </c>
      <c r="G323" s="10" t="s">
        <v>356</v>
      </c>
      <c r="H323" s="8" t="s">
        <v>397</v>
      </c>
      <c r="I323" s="10">
        <f t="shared" si="113"/>
        <v>11</v>
      </c>
    </row>
    <row r="324" spans="1:9" x14ac:dyDescent="0.25">
      <c r="A324" s="5">
        <v>632</v>
      </c>
      <c r="B324" s="6">
        <v>6323</v>
      </c>
      <c r="C324" s="6"/>
      <c r="D324" s="13" t="s">
        <v>400</v>
      </c>
      <c r="E324" s="13" t="str">
        <f t="shared" si="112"/>
        <v>6323 - Giá vốn cung cấp dịch vụ</v>
      </c>
      <c r="F324" s="8" t="str">
        <f t="shared" si="101"/>
        <v>G100</v>
      </c>
      <c r="G324" s="10" t="s">
        <v>356</v>
      </c>
      <c r="H324" s="8" t="s">
        <v>397</v>
      </c>
      <c r="I324" s="10">
        <f t="shared" si="113"/>
        <v>11</v>
      </c>
    </row>
    <row r="325" spans="1:9" x14ac:dyDescent="0.25">
      <c r="A325" s="5">
        <v>632</v>
      </c>
      <c r="B325" s="6">
        <v>6327</v>
      </c>
      <c r="C325" s="6"/>
      <c r="D325" s="13" t="s">
        <v>401</v>
      </c>
      <c r="E325" s="13" t="str">
        <f t="shared" si="112"/>
        <v>6327 - Giá vốn kinh doanh bất động sản đầu tư</v>
      </c>
      <c r="F325" s="8" t="str">
        <f t="shared" si="101"/>
        <v>G100</v>
      </c>
      <c r="G325" s="10" t="s">
        <v>356</v>
      </c>
      <c r="H325" s="8" t="s">
        <v>397</v>
      </c>
      <c r="I325" s="10">
        <f t="shared" si="113"/>
        <v>11</v>
      </c>
    </row>
    <row r="326" spans="1:9" x14ac:dyDescent="0.25">
      <c r="A326" s="5">
        <v>632</v>
      </c>
      <c r="B326" s="6">
        <v>6328</v>
      </c>
      <c r="C326" s="6"/>
      <c r="D326" s="13" t="s">
        <v>402</v>
      </c>
      <c r="E326" s="13" t="str">
        <f t="shared" si="112"/>
        <v>6328 - Giá vốn khác</v>
      </c>
      <c r="F326" s="8" t="str">
        <f t="shared" si="101"/>
        <v>G100</v>
      </c>
      <c r="G326" s="10" t="s">
        <v>356</v>
      </c>
      <c r="H326" s="8" t="s">
        <v>397</v>
      </c>
      <c r="I326" s="10">
        <f t="shared" si="113"/>
        <v>11</v>
      </c>
    </row>
    <row r="327" spans="1:9" x14ac:dyDescent="0.25">
      <c r="A327" s="5"/>
      <c r="B327" s="6"/>
      <c r="C327" s="6"/>
      <c r="D327" s="13"/>
      <c r="E327" s="13"/>
      <c r="F327" s="8"/>
      <c r="G327" s="10"/>
      <c r="H327" s="8"/>
      <c r="I327" s="10"/>
    </row>
    <row r="328" spans="1:9" x14ac:dyDescent="0.25">
      <c r="A328" s="5"/>
      <c r="B328" s="6"/>
      <c r="C328" s="6"/>
      <c r="D328" s="13"/>
      <c r="E328" s="13"/>
      <c r="F328" s="8"/>
      <c r="G328" s="10"/>
      <c r="H328" s="8"/>
      <c r="I328" s="10"/>
    </row>
    <row r="329" spans="1:9" x14ac:dyDescent="0.25">
      <c r="A329" s="5"/>
      <c r="B329" s="6"/>
      <c r="C329" s="6"/>
      <c r="D329" s="13"/>
      <c r="E329" s="13"/>
      <c r="F329" s="8"/>
      <c r="G329" s="10"/>
      <c r="H329" s="8"/>
      <c r="I329" s="10"/>
    </row>
    <row r="330" spans="1:9" x14ac:dyDescent="0.25">
      <c r="A330" s="5"/>
      <c r="B330" s="6"/>
      <c r="C330" s="6"/>
      <c r="D330" s="13"/>
      <c r="E330" s="13"/>
      <c r="F330" s="8" t="str">
        <f t="shared" si="101"/>
        <v/>
      </c>
      <c r="G330" s="10"/>
      <c r="H330" s="8"/>
      <c r="I330" s="6"/>
    </row>
    <row r="331" spans="1:9" x14ac:dyDescent="0.25">
      <c r="A331" s="5">
        <v>635</v>
      </c>
      <c r="B331" s="6">
        <v>635</v>
      </c>
      <c r="C331" s="6"/>
      <c r="D331" s="13" t="s">
        <v>403</v>
      </c>
      <c r="E331" s="13" t="str">
        <f t="shared" ref="E331:E337" si="114">IF(C331="",TEXT(CONCATENATE(B331," ","-"," ",D331),1),TEXT(CONCATENATE(C331," ","-"," ",D331),1))</f>
        <v xml:space="preserve">635 - Chi phí tài chính </v>
      </c>
      <c r="F331" s="8" t="str">
        <f t="shared" si="101"/>
        <v>G200</v>
      </c>
      <c r="G331" s="10" t="s">
        <v>365</v>
      </c>
      <c r="H331" s="8" t="s">
        <v>404</v>
      </c>
      <c r="I331" s="10">
        <f t="shared" ref="I331:I337" si="115">LEFT(H331,3)*1</f>
        <v>22</v>
      </c>
    </row>
    <row r="332" spans="1:9" x14ac:dyDescent="0.25">
      <c r="A332" s="5">
        <v>635</v>
      </c>
      <c r="B332" s="6">
        <v>6351</v>
      </c>
      <c r="C332" s="6"/>
      <c r="D332" s="13" t="s">
        <v>405</v>
      </c>
      <c r="E332" s="13" t="str">
        <f>IF(C332="",TEXT(CONCATENATE(B332," ","-"," ",D332),1),TEXT(CONCATENATE(C332," ","-"," ",D332),1))</f>
        <v>6351 - Chi phí lãi vay</v>
      </c>
      <c r="F332" s="8" t="str">
        <f>LEFT(G332,4)</f>
        <v>G200</v>
      </c>
      <c r="G332" s="10" t="s">
        <v>365</v>
      </c>
      <c r="H332" s="8" t="s">
        <v>404</v>
      </c>
      <c r="I332" s="10">
        <f t="shared" si="115"/>
        <v>22</v>
      </c>
    </row>
    <row r="333" spans="1:9" x14ac:dyDescent="0.25">
      <c r="A333" s="5">
        <v>635</v>
      </c>
      <c r="B333" s="6">
        <v>6352</v>
      </c>
      <c r="C333" s="6"/>
      <c r="D333" s="13" t="s">
        <v>406</v>
      </c>
      <c r="E333" s="13" t="str">
        <f t="shared" ref="E333:E336" si="116">IF(C333="",TEXT(CONCATENATE(B333," ","-"," ",D333),1),TEXT(CONCATENATE(C333," ","-"," ",D333),1))</f>
        <v>6352 - Lỗ chênh lệch tỷ giá đã thực hiện</v>
      </c>
      <c r="F333" s="8" t="str">
        <f t="shared" ref="F333:F336" si="117">LEFT(G333,4)</f>
        <v>G200</v>
      </c>
      <c r="G333" s="10" t="s">
        <v>365</v>
      </c>
      <c r="H333" s="8" t="s">
        <v>404</v>
      </c>
      <c r="I333" s="10">
        <f t="shared" si="115"/>
        <v>22</v>
      </c>
    </row>
    <row r="334" spans="1:9" x14ac:dyDescent="0.25">
      <c r="A334" s="5">
        <v>635</v>
      </c>
      <c r="B334" s="6">
        <v>6353</v>
      </c>
      <c r="C334" s="6"/>
      <c r="D334" s="13" t="s">
        <v>407</v>
      </c>
      <c r="E334" s="13" t="str">
        <f t="shared" si="116"/>
        <v>6353 - Lỗ chênh lệch tỷ giá chưa thực hiện</v>
      </c>
      <c r="F334" s="8" t="str">
        <f t="shared" si="117"/>
        <v>G200</v>
      </c>
      <c r="G334" s="10" t="s">
        <v>365</v>
      </c>
      <c r="H334" s="8" t="s">
        <v>404</v>
      </c>
      <c r="I334" s="10">
        <f t="shared" si="115"/>
        <v>22</v>
      </c>
    </row>
    <row r="335" spans="1:9" x14ac:dyDescent="0.25">
      <c r="A335" s="5">
        <v>635</v>
      </c>
      <c r="B335" s="6">
        <v>6354</v>
      </c>
      <c r="C335" s="6"/>
      <c r="D335" s="13" t="s">
        <v>408</v>
      </c>
      <c r="E335" s="13" t="str">
        <f t="shared" si="116"/>
        <v>6354 - Lỗ thanh lý các khoản đầu tư tài chính</v>
      </c>
      <c r="F335" s="8" t="str">
        <f t="shared" si="117"/>
        <v>G200</v>
      </c>
      <c r="G335" s="10" t="s">
        <v>365</v>
      </c>
      <c r="H335" s="8" t="s">
        <v>404</v>
      </c>
      <c r="I335" s="10">
        <f t="shared" si="115"/>
        <v>22</v>
      </c>
    </row>
    <row r="336" spans="1:9" x14ac:dyDescent="0.25">
      <c r="A336" s="5">
        <v>635</v>
      </c>
      <c r="B336" s="6">
        <v>6355</v>
      </c>
      <c r="C336" s="6"/>
      <c r="D336" s="13" t="s">
        <v>409</v>
      </c>
      <c r="E336" s="13" t="str">
        <f t="shared" si="116"/>
        <v>6355 - Dự phòng giảm giá các khoản đầu tư</v>
      </c>
      <c r="F336" s="8" t="str">
        <f t="shared" si="117"/>
        <v>G200</v>
      </c>
      <c r="G336" s="10" t="s">
        <v>365</v>
      </c>
      <c r="H336" s="8" t="s">
        <v>404</v>
      </c>
      <c r="I336" s="10">
        <f t="shared" si="115"/>
        <v>22</v>
      </c>
    </row>
    <row r="337" spans="1:9" x14ac:dyDescent="0.25">
      <c r="A337" s="5">
        <v>635</v>
      </c>
      <c r="B337" s="6">
        <v>6356</v>
      </c>
      <c r="C337" s="6"/>
      <c r="D337" s="13" t="s">
        <v>410</v>
      </c>
      <c r="E337" s="13" t="str">
        <f t="shared" si="114"/>
        <v>6356 - Chi phí tài chính khác</v>
      </c>
      <c r="F337" s="8" t="str">
        <f t="shared" si="101"/>
        <v>G200</v>
      </c>
      <c r="G337" s="10" t="s">
        <v>365</v>
      </c>
      <c r="H337" s="8" t="s">
        <v>404</v>
      </c>
      <c r="I337" s="10">
        <f t="shared" si="115"/>
        <v>22</v>
      </c>
    </row>
    <row r="338" spans="1:9" x14ac:dyDescent="0.25">
      <c r="A338" s="5"/>
      <c r="B338" s="6"/>
      <c r="C338" s="6"/>
      <c r="D338" s="13"/>
      <c r="E338" s="13"/>
      <c r="F338" s="8" t="str">
        <f t="shared" si="101"/>
        <v/>
      </c>
      <c r="G338" s="10"/>
      <c r="H338" s="8"/>
      <c r="I338" s="6"/>
    </row>
    <row r="339" spans="1:9" x14ac:dyDescent="0.25">
      <c r="A339" s="5"/>
      <c r="B339" s="6"/>
      <c r="C339" s="6"/>
      <c r="D339" s="12" t="s">
        <v>411</v>
      </c>
      <c r="E339" s="13"/>
      <c r="F339" s="8" t="str">
        <f t="shared" si="101"/>
        <v/>
      </c>
      <c r="G339" s="10"/>
      <c r="H339" s="8"/>
      <c r="I339" s="6"/>
    </row>
    <row r="340" spans="1:9" x14ac:dyDescent="0.25">
      <c r="A340" s="5">
        <v>641</v>
      </c>
      <c r="B340" s="6">
        <v>6411</v>
      </c>
      <c r="C340" s="6"/>
      <c r="D340" s="13" t="s">
        <v>412</v>
      </c>
      <c r="E340" s="13" t="str">
        <f t="shared" ref="E340:E346" si="118">IF(C340="",TEXT(CONCATENATE(B340," ","-"," ",D340),1),TEXT(CONCATENATE(C340," ","-"," ",D340),1))</f>
        <v xml:space="preserve">6411 - Chi phí nhân viên </v>
      </c>
      <c r="F340" s="8" t="str">
        <f t="shared" si="101"/>
        <v>G300</v>
      </c>
      <c r="G340" s="10" t="s">
        <v>413</v>
      </c>
      <c r="H340" s="8" t="s">
        <v>414</v>
      </c>
      <c r="I340" s="10">
        <f t="shared" ref="I340:I346" si="119">LEFT(H340,3)*1</f>
        <v>25</v>
      </c>
    </row>
    <row r="341" spans="1:9" x14ac:dyDescent="0.25">
      <c r="A341" s="5">
        <v>641</v>
      </c>
      <c r="B341" s="6">
        <v>6412</v>
      </c>
      <c r="C341" s="6"/>
      <c r="D341" s="13" t="s">
        <v>415</v>
      </c>
      <c r="E341" s="13" t="str">
        <f t="shared" si="118"/>
        <v>6412 - Chi phí nguyên vật liệu, bao bì</v>
      </c>
      <c r="F341" s="8" t="str">
        <f t="shared" si="101"/>
        <v>G300</v>
      </c>
      <c r="G341" s="10" t="s">
        <v>413</v>
      </c>
      <c r="H341" s="8" t="s">
        <v>414</v>
      </c>
      <c r="I341" s="10">
        <f t="shared" si="119"/>
        <v>25</v>
      </c>
    </row>
    <row r="342" spans="1:9" x14ac:dyDescent="0.25">
      <c r="A342" s="5">
        <v>641</v>
      </c>
      <c r="B342" s="6">
        <v>6413</v>
      </c>
      <c r="C342" s="6"/>
      <c r="D342" s="13" t="s">
        <v>416</v>
      </c>
      <c r="E342" s="13" t="str">
        <f t="shared" si="118"/>
        <v>6413 - Chi phí dụng cụ, đồ dùng</v>
      </c>
      <c r="F342" s="8" t="str">
        <f t="shared" si="101"/>
        <v>G300</v>
      </c>
      <c r="G342" s="10" t="s">
        <v>413</v>
      </c>
      <c r="H342" s="8" t="s">
        <v>414</v>
      </c>
      <c r="I342" s="10">
        <f t="shared" si="119"/>
        <v>25</v>
      </c>
    </row>
    <row r="343" spans="1:9" x14ac:dyDescent="0.25">
      <c r="A343" s="5">
        <v>641</v>
      </c>
      <c r="B343" s="6">
        <v>6414</v>
      </c>
      <c r="C343" s="6"/>
      <c r="D343" s="13" t="s">
        <v>417</v>
      </c>
      <c r="E343" s="13" t="str">
        <f t="shared" si="118"/>
        <v>6414 - Chi phí khấu hao TSCĐ</v>
      </c>
      <c r="F343" s="8" t="str">
        <f t="shared" si="101"/>
        <v>G300</v>
      </c>
      <c r="G343" s="10" t="s">
        <v>413</v>
      </c>
      <c r="H343" s="8" t="s">
        <v>414</v>
      </c>
      <c r="I343" s="10">
        <f t="shared" si="119"/>
        <v>25</v>
      </c>
    </row>
    <row r="344" spans="1:9" x14ac:dyDescent="0.25">
      <c r="A344" s="5">
        <v>641</v>
      </c>
      <c r="B344" s="6">
        <v>6415</v>
      </c>
      <c r="C344" s="6"/>
      <c r="D344" s="13" t="s">
        <v>418</v>
      </c>
      <c r="E344" s="13" t="str">
        <f t="shared" si="118"/>
        <v>6415 - Chi phí bảo hành</v>
      </c>
      <c r="F344" s="8" t="str">
        <f t="shared" si="101"/>
        <v>G300</v>
      </c>
      <c r="G344" s="10" t="s">
        <v>413</v>
      </c>
      <c r="H344" s="8" t="s">
        <v>414</v>
      </c>
      <c r="I344" s="10">
        <f t="shared" si="119"/>
        <v>25</v>
      </c>
    </row>
    <row r="345" spans="1:9" x14ac:dyDescent="0.25">
      <c r="A345" s="5">
        <v>641</v>
      </c>
      <c r="B345" s="6">
        <v>6417</v>
      </c>
      <c r="C345" s="6"/>
      <c r="D345" s="13" t="s">
        <v>419</v>
      </c>
      <c r="E345" s="13" t="str">
        <f t="shared" si="118"/>
        <v>6417 - Chi phí dịch vụ mua ngoài</v>
      </c>
      <c r="F345" s="8" t="str">
        <f t="shared" si="101"/>
        <v>G300</v>
      </c>
      <c r="G345" s="10" t="s">
        <v>413</v>
      </c>
      <c r="H345" s="8" t="s">
        <v>414</v>
      </c>
      <c r="I345" s="10">
        <f t="shared" si="119"/>
        <v>25</v>
      </c>
    </row>
    <row r="346" spans="1:9" x14ac:dyDescent="0.25">
      <c r="A346" s="5">
        <v>641</v>
      </c>
      <c r="B346" s="6">
        <v>6418</v>
      </c>
      <c r="C346" s="6"/>
      <c r="D346" s="13" t="s">
        <v>420</v>
      </c>
      <c r="E346" s="13" t="str">
        <f t="shared" si="118"/>
        <v>6418 - Chi phí bằng tiền khác</v>
      </c>
      <c r="F346" s="8" t="str">
        <f t="shared" si="101"/>
        <v>G300</v>
      </c>
      <c r="G346" s="10" t="s">
        <v>413</v>
      </c>
      <c r="H346" s="8" t="s">
        <v>414</v>
      </c>
      <c r="I346" s="10">
        <f t="shared" si="119"/>
        <v>25</v>
      </c>
    </row>
    <row r="347" spans="1:9" x14ac:dyDescent="0.25">
      <c r="A347" s="5"/>
      <c r="B347" s="6"/>
      <c r="C347" s="6"/>
      <c r="D347" s="13"/>
      <c r="E347" s="13"/>
      <c r="F347" s="8" t="str">
        <f t="shared" si="101"/>
        <v/>
      </c>
      <c r="G347" s="10"/>
      <c r="H347" s="8"/>
      <c r="I347" s="6"/>
    </row>
    <row r="348" spans="1:9" x14ac:dyDescent="0.25">
      <c r="A348" s="5"/>
      <c r="B348" s="6"/>
      <c r="C348" s="6"/>
      <c r="D348" s="12" t="s">
        <v>421</v>
      </c>
      <c r="E348" s="13"/>
      <c r="F348" s="8" t="str">
        <f t="shared" si="101"/>
        <v/>
      </c>
      <c r="G348" s="10"/>
      <c r="H348" s="8"/>
      <c r="I348" s="6"/>
    </row>
    <row r="349" spans="1:9" x14ac:dyDescent="0.25">
      <c r="A349" s="5">
        <v>642</v>
      </c>
      <c r="B349" s="6">
        <v>6421</v>
      </c>
      <c r="C349" s="6"/>
      <c r="D349" s="13" t="s">
        <v>422</v>
      </c>
      <c r="E349" s="13" t="str">
        <f t="shared" ref="E349:E356" si="120">IF(C349="",TEXT(CONCATENATE(B349," ","-"," ",D349),1),TEXT(CONCATENATE(C349," ","-"," ",D349),1))</f>
        <v>6421 - Chi phí nhân viên quản lý</v>
      </c>
      <c r="F349" s="8" t="str">
        <f t="shared" si="101"/>
        <v>G300</v>
      </c>
      <c r="G349" s="10" t="s">
        <v>413</v>
      </c>
      <c r="H349" s="8" t="s">
        <v>423</v>
      </c>
      <c r="I349" s="10">
        <f t="shared" ref="I349:I356" si="121">LEFT(H349,3)*1</f>
        <v>26</v>
      </c>
    </row>
    <row r="350" spans="1:9" x14ac:dyDescent="0.25">
      <c r="A350" s="5">
        <v>642</v>
      </c>
      <c r="B350" s="6">
        <v>6422</v>
      </c>
      <c r="C350" s="6"/>
      <c r="D350" s="13" t="s">
        <v>424</v>
      </c>
      <c r="E350" s="13" t="str">
        <f t="shared" si="120"/>
        <v>6422 - Chi phí vật liệu quản lý</v>
      </c>
      <c r="F350" s="8" t="str">
        <f t="shared" si="101"/>
        <v>G300</v>
      </c>
      <c r="G350" s="10" t="s">
        <v>413</v>
      </c>
      <c r="H350" s="8" t="s">
        <v>423</v>
      </c>
      <c r="I350" s="10">
        <f t="shared" si="121"/>
        <v>26</v>
      </c>
    </row>
    <row r="351" spans="1:9" x14ac:dyDescent="0.25">
      <c r="A351" s="5">
        <v>642</v>
      </c>
      <c r="B351" s="6">
        <v>6423</v>
      </c>
      <c r="C351" s="6"/>
      <c r="D351" s="13" t="s">
        <v>425</v>
      </c>
      <c r="E351" s="13" t="str">
        <f t="shared" si="120"/>
        <v>6423 - Chi phí đồ dùng văn phòng</v>
      </c>
      <c r="F351" s="8" t="str">
        <f t="shared" si="101"/>
        <v>G300</v>
      </c>
      <c r="G351" s="10" t="s">
        <v>413</v>
      </c>
      <c r="H351" s="8" t="s">
        <v>423</v>
      </c>
      <c r="I351" s="10">
        <f t="shared" si="121"/>
        <v>26</v>
      </c>
    </row>
    <row r="352" spans="1:9" x14ac:dyDescent="0.25">
      <c r="A352" s="5">
        <v>642</v>
      </c>
      <c r="B352" s="6">
        <v>6424</v>
      </c>
      <c r="C352" s="6"/>
      <c r="D352" s="13" t="s">
        <v>417</v>
      </c>
      <c r="E352" s="13" t="str">
        <f t="shared" si="120"/>
        <v>6424 - Chi phí khấu hao TSCĐ</v>
      </c>
      <c r="F352" s="8" t="str">
        <f t="shared" si="101"/>
        <v>G300</v>
      </c>
      <c r="G352" s="10" t="s">
        <v>413</v>
      </c>
      <c r="H352" s="8" t="s">
        <v>423</v>
      </c>
      <c r="I352" s="10">
        <f t="shared" si="121"/>
        <v>26</v>
      </c>
    </row>
    <row r="353" spans="1:9" x14ac:dyDescent="0.25">
      <c r="A353" s="5">
        <v>642</v>
      </c>
      <c r="B353" s="6">
        <v>6425</v>
      </c>
      <c r="C353" s="6"/>
      <c r="D353" s="13" t="s">
        <v>426</v>
      </c>
      <c r="E353" s="13" t="str">
        <f t="shared" si="120"/>
        <v>6425 - Thuế, phí và lệ phí</v>
      </c>
      <c r="F353" s="8" t="str">
        <f t="shared" si="101"/>
        <v>G300</v>
      </c>
      <c r="G353" s="10" t="s">
        <v>413</v>
      </c>
      <c r="H353" s="8" t="s">
        <v>423</v>
      </c>
      <c r="I353" s="10">
        <f t="shared" si="121"/>
        <v>26</v>
      </c>
    </row>
    <row r="354" spans="1:9" x14ac:dyDescent="0.25">
      <c r="A354" s="5">
        <v>642</v>
      </c>
      <c r="B354" s="6">
        <v>6426</v>
      </c>
      <c r="C354" s="6"/>
      <c r="D354" s="13" t="s">
        <v>427</v>
      </c>
      <c r="E354" s="13" t="str">
        <f t="shared" si="120"/>
        <v>6426 - Chi phí dự phòng</v>
      </c>
      <c r="F354" s="8" t="str">
        <f t="shared" si="101"/>
        <v>G300</v>
      </c>
      <c r="G354" s="10" t="s">
        <v>413</v>
      </c>
      <c r="H354" s="8" t="s">
        <v>423</v>
      </c>
      <c r="I354" s="10">
        <f t="shared" si="121"/>
        <v>26</v>
      </c>
    </row>
    <row r="355" spans="1:9" x14ac:dyDescent="0.25">
      <c r="A355" s="5">
        <v>642</v>
      </c>
      <c r="B355" s="6">
        <v>6427</v>
      </c>
      <c r="C355" s="6"/>
      <c r="D355" s="13" t="s">
        <v>419</v>
      </c>
      <c r="E355" s="13" t="str">
        <f t="shared" si="120"/>
        <v>6427 - Chi phí dịch vụ mua ngoài</v>
      </c>
      <c r="F355" s="8" t="str">
        <f t="shared" si="101"/>
        <v>G300</v>
      </c>
      <c r="G355" s="10" t="s">
        <v>413</v>
      </c>
      <c r="H355" s="8" t="s">
        <v>423</v>
      </c>
      <c r="I355" s="10">
        <f t="shared" si="121"/>
        <v>26</v>
      </c>
    </row>
    <row r="356" spans="1:9" x14ac:dyDescent="0.25">
      <c r="A356" s="5">
        <v>642</v>
      </c>
      <c r="B356" s="6">
        <v>6428</v>
      </c>
      <c r="C356" s="6"/>
      <c r="D356" s="13" t="s">
        <v>420</v>
      </c>
      <c r="E356" s="13" t="str">
        <f t="shared" si="120"/>
        <v>6428 - Chi phí bằng tiền khác</v>
      </c>
      <c r="F356" s="8" t="str">
        <f t="shared" si="101"/>
        <v>G300</v>
      </c>
      <c r="G356" s="10" t="s">
        <v>413</v>
      </c>
      <c r="H356" s="8" t="s">
        <v>423</v>
      </c>
      <c r="I356" s="10">
        <f t="shared" si="121"/>
        <v>26</v>
      </c>
    </row>
    <row r="357" spans="1:9" x14ac:dyDescent="0.25">
      <c r="A357" s="5"/>
      <c r="B357" s="6"/>
      <c r="C357" s="6"/>
      <c r="D357" s="7"/>
      <c r="E357" s="7"/>
      <c r="F357" s="8" t="str">
        <f t="shared" si="101"/>
        <v/>
      </c>
      <c r="G357" s="10"/>
      <c r="H357" s="8"/>
      <c r="I357" s="6"/>
    </row>
    <row r="358" spans="1:9" x14ac:dyDescent="0.25">
      <c r="A358" s="5"/>
      <c r="B358" s="6"/>
      <c r="C358" s="6"/>
      <c r="D358" s="9" t="s">
        <v>428</v>
      </c>
      <c r="E358" s="7"/>
      <c r="F358" s="8" t="str">
        <f t="shared" si="101"/>
        <v/>
      </c>
      <c r="G358" s="10"/>
      <c r="H358" s="8"/>
      <c r="I358" s="6"/>
    </row>
    <row r="359" spans="1:9" x14ac:dyDescent="0.25">
      <c r="A359" s="5"/>
      <c r="B359" s="6"/>
      <c r="C359" s="6"/>
      <c r="D359" s="13"/>
      <c r="E359" s="13"/>
      <c r="F359" s="8" t="str">
        <f t="shared" si="101"/>
        <v/>
      </c>
      <c r="G359" s="10"/>
      <c r="H359" s="8"/>
      <c r="I359" s="6"/>
    </row>
    <row r="360" spans="1:9" x14ac:dyDescent="0.25">
      <c r="A360" s="5">
        <v>711</v>
      </c>
      <c r="B360" s="6">
        <f>A360</f>
        <v>711</v>
      </c>
      <c r="C360" s="6"/>
      <c r="D360" s="13" t="s">
        <v>429</v>
      </c>
      <c r="E360" s="13" t="str">
        <f t="shared" ref="E360:E366" si="122">IF(C360="",TEXT(CONCATENATE(B360," ","-"," ",D360),1),TEXT(CONCATENATE(C360," ","-"," ",D360),1))</f>
        <v>711 - Thu nhập khác</v>
      </c>
      <c r="F360" s="8" t="str">
        <f t="shared" ref="F360:F380" si="123">LEFT(G360,4)</f>
        <v>G400</v>
      </c>
      <c r="G360" s="10" t="s">
        <v>430</v>
      </c>
      <c r="H360" s="8" t="s">
        <v>431</v>
      </c>
      <c r="I360" s="10">
        <f>LEFT(H360,3)*1</f>
        <v>31</v>
      </c>
    </row>
    <row r="361" spans="1:9" x14ac:dyDescent="0.25">
      <c r="A361" s="5">
        <v>711</v>
      </c>
      <c r="B361" s="6">
        <v>7111</v>
      </c>
      <c r="C361" s="6"/>
      <c r="D361" s="13" t="s">
        <v>432</v>
      </c>
      <c r="E361" s="13" t="str">
        <f t="shared" si="122"/>
        <v>7111 - Thu nhập từ thanh lý tài sản</v>
      </c>
      <c r="F361" s="8" t="str">
        <f t="shared" si="123"/>
        <v>G400</v>
      </c>
      <c r="G361" s="10" t="s">
        <v>430</v>
      </c>
      <c r="H361" s="8" t="s">
        <v>431</v>
      </c>
      <c r="I361" s="10">
        <f t="shared" ref="I361:I366" si="124">LEFT(H361,3)*1</f>
        <v>31</v>
      </c>
    </row>
    <row r="362" spans="1:9" x14ac:dyDescent="0.25">
      <c r="A362" s="5">
        <v>711</v>
      </c>
      <c r="B362" s="6">
        <v>7112</v>
      </c>
      <c r="C362" s="6"/>
      <c r="D362" s="13" t="s">
        <v>433</v>
      </c>
      <c r="E362" s="13" t="str">
        <f t="shared" si="122"/>
        <v>7112 - Chênh lệch năng suất</v>
      </c>
      <c r="F362" s="8" t="str">
        <f t="shared" si="123"/>
        <v>G400</v>
      </c>
      <c r="G362" s="10" t="s">
        <v>430</v>
      </c>
      <c r="H362" s="8" t="s">
        <v>431</v>
      </c>
      <c r="I362" s="10">
        <f t="shared" si="124"/>
        <v>31</v>
      </c>
    </row>
    <row r="363" spans="1:9" x14ac:dyDescent="0.25">
      <c r="A363" s="5">
        <v>711</v>
      </c>
      <c r="B363" s="6">
        <v>7113</v>
      </c>
      <c r="C363" s="6"/>
      <c r="D363" s="13" t="s">
        <v>434</v>
      </c>
      <c r="E363" s="13" t="str">
        <f t="shared" si="122"/>
        <v>7113 - Thu từ bảo hiểm bồi thường hàng hỏng</v>
      </c>
      <c r="F363" s="8" t="str">
        <f t="shared" si="123"/>
        <v>G400</v>
      </c>
      <c r="G363" s="10" t="s">
        <v>430</v>
      </c>
      <c r="H363" s="8" t="s">
        <v>431</v>
      </c>
      <c r="I363" s="10">
        <f t="shared" si="124"/>
        <v>31</v>
      </c>
    </row>
    <row r="364" spans="1:9" x14ac:dyDescent="0.25">
      <c r="A364" s="5">
        <v>711</v>
      </c>
      <c r="B364" s="6">
        <v>7114</v>
      </c>
      <c r="C364" s="6"/>
      <c r="D364" s="13" t="s">
        <v>435</v>
      </c>
      <c r="E364" s="13" t="str">
        <f t="shared" si="122"/>
        <v>7114 - Hàng phi mậu dịch</v>
      </c>
      <c r="F364" s="8" t="str">
        <f t="shared" si="123"/>
        <v>G400</v>
      </c>
      <c r="G364" s="10" t="s">
        <v>430</v>
      </c>
      <c r="H364" s="8" t="s">
        <v>431</v>
      </c>
      <c r="I364" s="10">
        <f t="shared" si="124"/>
        <v>31</v>
      </c>
    </row>
    <row r="365" spans="1:9" x14ac:dyDescent="0.25">
      <c r="A365" s="5">
        <v>711</v>
      </c>
      <c r="B365" s="6">
        <v>7115</v>
      </c>
      <c r="C365" s="6"/>
      <c r="D365" s="13" t="s">
        <v>436</v>
      </c>
      <c r="E365" s="13" t="str">
        <f t="shared" si="122"/>
        <v>7115 - Thu hồi nợ khó đòi đã xóa sổ</v>
      </c>
      <c r="F365" s="8" t="str">
        <f t="shared" si="123"/>
        <v>G400</v>
      </c>
      <c r="G365" s="10" t="s">
        <v>430</v>
      </c>
      <c r="H365" s="8" t="s">
        <v>431</v>
      </c>
      <c r="I365" s="10">
        <f t="shared" si="124"/>
        <v>31</v>
      </c>
    </row>
    <row r="366" spans="1:9" x14ac:dyDescent="0.25">
      <c r="A366" s="5">
        <v>711</v>
      </c>
      <c r="B366" s="6">
        <v>7116</v>
      </c>
      <c r="C366" s="6"/>
      <c r="D366" s="13" t="s">
        <v>429</v>
      </c>
      <c r="E366" s="13" t="str">
        <f t="shared" si="122"/>
        <v>7116 - Thu nhập khác</v>
      </c>
      <c r="F366" s="8" t="str">
        <f t="shared" si="123"/>
        <v>G400</v>
      </c>
      <c r="G366" s="10" t="s">
        <v>430</v>
      </c>
      <c r="H366" s="8" t="s">
        <v>431</v>
      </c>
      <c r="I366" s="10">
        <f t="shared" si="124"/>
        <v>31</v>
      </c>
    </row>
    <row r="367" spans="1:9" x14ac:dyDescent="0.25">
      <c r="A367" s="5"/>
      <c r="B367" s="6"/>
      <c r="C367" s="6"/>
      <c r="D367" s="13"/>
      <c r="E367" s="13"/>
      <c r="F367" s="8"/>
      <c r="G367" s="10"/>
      <c r="H367" s="8"/>
      <c r="I367" s="10"/>
    </row>
    <row r="368" spans="1:9" x14ac:dyDescent="0.25">
      <c r="A368" s="5"/>
      <c r="B368" s="6"/>
      <c r="C368" s="6"/>
      <c r="D368" s="9" t="s">
        <v>437</v>
      </c>
      <c r="E368" s="11"/>
      <c r="F368" s="8" t="str">
        <f t="shared" si="123"/>
        <v/>
      </c>
      <c r="G368" s="10"/>
      <c r="H368" s="8"/>
      <c r="I368" s="6"/>
    </row>
    <row r="369" spans="1:9" x14ac:dyDescent="0.25">
      <c r="A369" s="5"/>
      <c r="B369" s="6"/>
      <c r="C369" s="6"/>
      <c r="D369" s="7"/>
      <c r="E369" s="11"/>
      <c r="F369" s="8" t="str">
        <f t="shared" si="123"/>
        <v/>
      </c>
      <c r="G369" s="10"/>
      <c r="H369" s="8"/>
      <c r="I369" s="6"/>
    </row>
    <row r="370" spans="1:9" x14ac:dyDescent="0.25">
      <c r="A370" s="5">
        <v>811</v>
      </c>
      <c r="B370" s="6">
        <f>A370</f>
        <v>811</v>
      </c>
      <c r="C370" s="6"/>
      <c r="D370" s="13" t="s">
        <v>438</v>
      </c>
      <c r="E370" s="13" t="str">
        <f t="shared" ref="E370:E374" si="125">IF(C370="",TEXT(CONCATENATE(B370," ","-"," ",D370),1),TEXT(CONCATENATE(C370," ","-"," ",D370),1))</f>
        <v>811 - Chi phí khác</v>
      </c>
      <c r="F370" s="8" t="str">
        <f t="shared" si="123"/>
        <v>G400</v>
      </c>
      <c r="G370" s="10" t="s">
        <v>430</v>
      </c>
      <c r="H370" s="8" t="s">
        <v>439</v>
      </c>
      <c r="I370" s="10">
        <f>LEFT(H370,3)*1</f>
        <v>32</v>
      </c>
    </row>
    <row r="371" spans="1:9" x14ac:dyDescent="0.25">
      <c r="A371" s="5">
        <v>811</v>
      </c>
      <c r="B371" s="6">
        <v>8111</v>
      </c>
      <c r="C371" s="6"/>
      <c r="D371" s="13" t="s">
        <v>440</v>
      </c>
      <c r="E371" s="13" t="str">
        <f t="shared" si="125"/>
        <v>8111 - Lỗ do thanh lý tài sản</v>
      </c>
      <c r="F371" s="8" t="str">
        <f t="shared" si="123"/>
        <v>G400</v>
      </c>
      <c r="G371" s="10" t="s">
        <v>430</v>
      </c>
      <c r="H371" s="8" t="s">
        <v>439</v>
      </c>
      <c r="I371" s="10">
        <f t="shared" ref="I371:I374" si="126">LEFT(H371,3)*1</f>
        <v>32</v>
      </c>
    </row>
    <row r="372" spans="1:9" x14ac:dyDescent="0.25">
      <c r="A372" s="5">
        <v>811</v>
      </c>
      <c r="B372" s="6">
        <v>8112</v>
      </c>
      <c r="C372" s="6"/>
      <c r="D372" s="13" t="s">
        <v>441</v>
      </c>
      <c r="E372" s="13" t="str">
        <f t="shared" si="125"/>
        <v>8112 - Phạt vi phạm hành chính</v>
      </c>
      <c r="F372" s="8" t="str">
        <f t="shared" si="123"/>
        <v>G400</v>
      </c>
      <c r="G372" s="10" t="s">
        <v>430</v>
      </c>
      <c r="H372" s="8" t="s">
        <v>439</v>
      </c>
      <c r="I372" s="10">
        <f t="shared" si="126"/>
        <v>32</v>
      </c>
    </row>
    <row r="373" spans="1:9" x14ac:dyDescent="0.25">
      <c r="A373" s="5">
        <v>811</v>
      </c>
      <c r="B373" s="6">
        <v>8113</v>
      </c>
      <c r="C373" s="6"/>
      <c r="D373" s="13" t="s">
        <v>433</v>
      </c>
      <c r="E373" s="13" t="str">
        <f t="shared" si="125"/>
        <v>8113 - Chênh lệch năng suất</v>
      </c>
      <c r="F373" s="8" t="str">
        <f t="shared" si="123"/>
        <v>G400</v>
      </c>
      <c r="G373" s="10" t="s">
        <v>430</v>
      </c>
      <c r="H373" s="8" t="s">
        <v>439</v>
      </c>
      <c r="I373" s="10">
        <f t="shared" si="126"/>
        <v>32</v>
      </c>
    </row>
    <row r="374" spans="1:9" x14ac:dyDescent="0.25">
      <c r="A374" s="5">
        <v>811</v>
      </c>
      <c r="B374" s="6">
        <v>8114</v>
      </c>
      <c r="C374" s="6"/>
      <c r="D374" s="13" t="s">
        <v>442</v>
      </c>
      <c r="E374" s="13" t="str">
        <f t="shared" si="125"/>
        <v>8114 - Khác</v>
      </c>
      <c r="F374" s="8" t="str">
        <f t="shared" si="123"/>
        <v>G400</v>
      </c>
      <c r="G374" s="10" t="s">
        <v>430</v>
      </c>
      <c r="H374" s="8" t="s">
        <v>439</v>
      </c>
      <c r="I374" s="10">
        <f t="shared" si="126"/>
        <v>32</v>
      </c>
    </row>
    <row r="375" spans="1:9" x14ac:dyDescent="0.25">
      <c r="A375" s="5"/>
      <c r="B375" s="6"/>
      <c r="C375" s="6"/>
      <c r="D375" s="13"/>
      <c r="E375" s="13"/>
      <c r="F375" s="8" t="str">
        <f t="shared" si="123"/>
        <v/>
      </c>
      <c r="G375" s="10"/>
      <c r="H375" s="8"/>
      <c r="I375" s="6"/>
    </row>
    <row r="376" spans="1:9" x14ac:dyDescent="0.25">
      <c r="A376" s="5"/>
      <c r="B376" s="6"/>
      <c r="C376" s="6"/>
      <c r="D376" s="12" t="s">
        <v>443</v>
      </c>
      <c r="E376" s="13"/>
      <c r="F376" s="8" t="str">
        <f t="shared" si="123"/>
        <v/>
      </c>
      <c r="G376" s="10"/>
      <c r="H376" s="8"/>
      <c r="I376" s="6"/>
    </row>
    <row r="377" spans="1:9" x14ac:dyDescent="0.25">
      <c r="A377" s="5">
        <v>821</v>
      </c>
      <c r="B377" s="6">
        <v>8211</v>
      </c>
      <c r="C377" s="6"/>
      <c r="D377" s="13" t="s">
        <v>444</v>
      </c>
      <c r="E377" s="13" t="str">
        <f t="shared" ref="E377:E378" si="127">IF(C377="",TEXT(CONCATENATE(B377," ","-"," ",D377),1),TEXT(CONCATENATE(C377," ","-"," ",D377),1))</f>
        <v>8211 - Chi phí thuế TNDN hiện hành</v>
      </c>
      <c r="F377" s="8" t="str">
        <f t="shared" si="123"/>
        <v>E300</v>
      </c>
      <c r="G377" s="10" t="s">
        <v>55</v>
      </c>
      <c r="H377" s="8" t="s">
        <v>445</v>
      </c>
      <c r="I377" s="10">
        <f t="shared" ref="I377:I378" si="128">LEFT(H377,3)*1</f>
        <v>51</v>
      </c>
    </row>
    <row r="378" spans="1:9" x14ac:dyDescent="0.25">
      <c r="A378" s="5">
        <v>821</v>
      </c>
      <c r="B378" s="6">
        <v>8212</v>
      </c>
      <c r="C378" s="6"/>
      <c r="D378" s="13" t="s">
        <v>446</v>
      </c>
      <c r="E378" s="13" t="str">
        <f t="shared" si="127"/>
        <v>8212 - Chi phí thuế TNDN hoãn lại</v>
      </c>
      <c r="F378" s="8" t="str">
        <f t="shared" si="123"/>
        <v>E300</v>
      </c>
      <c r="G378" s="10" t="s">
        <v>55</v>
      </c>
      <c r="H378" s="8" t="s">
        <v>447</v>
      </c>
      <c r="I378" s="10">
        <f t="shared" si="128"/>
        <v>52</v>
      </c>
    </row>
    <row r="379" spans="1:9" x14ac:dyDescent="0.25">
      <c r="A379" s="5"/>
      <c r="B379" s="6"/>
      <c r="C379" s="6"/>
      <c r="D379" s="11"/>
      <c r="E379" s="11"/>
      <c r="F379" s="8" t="str">
        <f t="shared" si="123"/>
        <v/>
      </c>
      <c r="G379" s="5"/>
      <c r="H379" s="8"/>
      <c r="I379" s="6"/>
    </row>
    <row r="380" spans="1:9" x14ac:dyDescent="0.25">
      <c r="A380" s="5">
        <v>911</v>
      </c>
      <c r="B380" s="6">
        <f>A380</f>
        <v>911</v>
      </c>
      <c r="C380" s="6"/>
      <c r="D380" s="13" t="s">
        <v>448</v>
      </c>
      <c r="E380" s="13" t="str">
        <f t="shared" ref="E380" si="129">IF(C380="",TEXT(CONCATENATE(B380," ","-"," ",D380),1),TEXT(CONCATENATE(C380," ","-"," ",D380),1))</f>
        <v>911 - Xác định kết quả kinh doanh</v>
      </c>
      <c r="F380" s="8" t="str">
        <f t="shared" si="123"/>
        <v/>
      </c>
      <c r="G380" s="5"/>
      <c r="H380" s="8"/>
      <c r="I380" s="6" t="str">
        <f>LEFT(H380,2)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Quang Le | Crowe Vietnam</dc:creator>
  <cp:lastModifiedBy>Hai Le</cp:lastModifiedBy>
  <dcterms:created xsi:type="dcterms:W3CDTF">2025-11-10T06:37:42Z</dcterms:created>
  <dcterms:modified xsi:type="dcterms:W3CDTF">2025-11-10T14:27:47Z</dcterms:modified>
</cp:coreProperties>
</file>