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XA XUI - CVN\Desktop\"/>
    </mc:Choice>
  </mc:AlternateContent>
  <xr:revisionPtr revIDLastSave="0" documentId="8_{B0AFC6F9-30A5-4A08-BFF9-178C14249042}" xr6:coauthVersionLast="47" xr6:coauthVersionMax="47" xr10:uidLastSave="{00000000-0000-0000-0000-000000000000}"/>
  <bookViews>
    <workbookView xWindow="-110" yWindow="-110" windowWidth="19420" windowHeight="10420" xr2:uid="{FC3F8D4B-0BA3-47D8-A5EF-5D74CDA49DA7}"/>
  </bookViews>
  <sheets>
    <sheet name="BS" sheetId="1" r:id="rId1"/>
  </sheets>
  <externalReferences>
    <externalReference r:id="rId2"/>
  </externalReferences>
  <definedNames>
    <definedName name="_xlnm._FilterDatabase" localSheetId="0" hidden="1">BS!$A$5:$R$146</definedName>
    <definedName name="areacheckloa">[1]LoA!$A$5:$A$85,[1]LoA!$A$91:$A$101</definedName>
    <definedName name="areacopycheckloa">[1]LoA!$A$5:$A$85,[1]LoA!$A$91:$A$101</definedName>
    <definedName name="BCGD_BCKT_AV">'[1]GD&amp;Aud report'!$B$2:$J$313,'[1]GD&amp;Aud report'!$M$2:$U$313,'[1]GD&amp;Aud report'!$A$243,'[1]GD&amp;Aud report'!$A$264,'[1]GD&amp;Aud report'!$A$274</definedName>
    <definedName name="BCGD_BCKT_QD_AV">'[1]GD&amp;Aud report'!$Y$2:$AG$313,'[1]GD&amp;Aud report'!$AJ$2:$AR$313,'[1]GD&amp;Aud report'!$X$243,'[1]GD&amp;Aud report'!$X$264,'[1]GD&amp;Aud report'!$X$274</definedName>
    <definedName name="BCTC">[1]FSs!$C$4:$H$371,[1]FSs!$J$4:$O$371,[1]FSs!$R$4:$W$371,[1]FSs!$Y$4:$AD$371</definedName>
    <definedName name="equity_dulieugoc">[1]Equity!$C$10:$E$11,[1]Equity!$C$12:$D$16,[1]Equity!$E$13:$E$16,[1]Equity!$C$22:$E$22,[1]Equity!$C$24:$E$27,[1]Equity!$C$23:$D$23,[1]Equity!$C$38:$C$40</definedName>
    <definedName name="FCR_dulieugoc">[1]FCR!$E$28:$H$32,[1]FCR!$E$34:$H$39,[1]FCR!$E$41:$H$66,[1]FCR!$E$45:$H$68,[1]FCR!$E$72:$H$78,[1]FCR!$E$80:$H$86,[1]FCR!$E$88:$H$99</definedName>
    <definedName name="Fixed_asset_Note">[1]NoteII.1!$A$458</definedName>
    <definedName name="FreignRisk_dulieugoc">[1]FCR!$N$7:$T$10,[1]FCR!$N$14:$T$16</definedName>
    <definedName name="FSs_Cell_checkbox">[1]Info!$F$1</definedName>
    <definedName name="FSs_chukiGD">[1]FSs!$G$257:$H$257,[1]FSs!$G$181:$H$181,[1]FSs!$G$363:$H$363,[1]FSs!$N$363,[1]FSs!$N$363:$O$363,[1]FSs!$N$257:$O$257,[1]FSs!$O$181:$O$181,[1]FSs!$W$181:$W$181,[1]FSs!$V$257:$W$257,[1]FSs!$V$363:$W$363,[1]FSs!$AC$363:$AD$363,[1]FSs!$AC$257:$AD$257,[1]FSs!$AD$181:$AD$181</definedName>
    <definedName name="FSs_hide_1stfiscalyear">[1]FSs!$G$201:$G$246,[1]FSs!$N$201:$N$246,[1]FSs!$G$276:$G$316,[1]FSs!$N$276:$N$316,[1]FSs!$G$328:$G$348,[1]FSs!$N$328:$N$348,[1]FSs!$V$328:$V$348,[1]FSs!$AC$328:$AC$348,[1]FSs!$V$276:$V$316,[1]FSs!$AC$276:$AC$316,[1]FSs!$V$201:$V$246,[1]FSs!$AC$201:$AC$246</definedName>
    <definedName name="infor_BSdate">[1]Info!$D$25</definedName>
    <definedName name="infor_CA">[1]Info!$D$41</definedName>
    <definedName name="Infor_hidedongnam1">[1]Info!$28:$28,[1]Info!$82:$82,[1]Info!$92:$97</definedName>
    <definedName name="Link_BS">BS!$B$3</definedName>
    <definedName name="Note.1">Note_A.1,Note_V.1,Note_QD_A.1,Note_QD_V.1</definedName>
    <definedName name="Note_A.1">[1]NoteII.1!$D$4:$AP$685</definedName>
    <definedName name="Note_namdautien.1">[1]NoteII.1!$Z$93:$AG$99,[1]NoteII.1!$BS$93:$BZ$99,[1]NoteII.1!$Z$265:$AG$271,[1]NoteII.1!$BS$265:$BZ$271,[1]NoteII.1!$Z$299:$AG$305,[1]NoteII.1!$BS$299:$BZ$305,[1]NoteII.1!$Z$447:$AG$453,[1]NoteII.1!$BS$447:$BZ$453</definedName>
    <definedName name="Note_namdautien.3">[1]NoteII.3!$Z$255:$AG$264,[1]NoteII.3!$BS$255:$BZ$264,[1]NoteII.3!$Z$1027:$AG$1039,[1]NoteII.3!$BS$1027:$BZ$1039,[1]NoteII.3!$DJ$1027:$DQ$1039,[1]NoteII.3!$EZ$1027:$FG$1039,[1]NoteII.3!$Z$1044:$AG$1053,[1]NoteII.3!$BS$1044:$BZ$1053,[1]NoteII.3!$DJ$1044:$DQ$1053,[1]NoteII.3!$EZ$1044:$FG$1053,[1]NoteII.3!$Z$1058:$AG$1068,[1]NoteII.3!$BS$1058:$BZ$1068,[1]NoteII.3!$DJ$1058:$DQ$1068,[1]NoteII.3!$EZ$1058:$FG$1068,[1]NoteII.3!$Z$1073:$AG$1087,[1]NoteII.3!$BS$1073:$BZ$1087,[1]NoteII.3!$DJ$1073:$DQ$1087,[1]NoteII.3!$EZ$1073:$FG$1087,[1]NoteII.3!$Z$1092:$AG$1104,[1]NoteII.3!$BS$1092:$BZ$1104,[1]NoteII.3!$DJ$1092:$DQ$1104,[1]NoteII.3!$EZ$1092:$FG$1104,[1]NoteII.3!$Z$1109:$AG$1122,[1]NoteII.3!$BS$1109:$BZ$1122,[1]NoteII.3!$DJ$1109:$DQ$1122,[1]NoteII.3!$EZ$1109:$FG$1122,[1]NoteII.3!$EZ$1163:$FG$1170,[1]NoteII.3!$DJ$1163:$DQ$1170,[1]NoteII.3!$BS$1163:$BZ$1170,[1]NoteII.3!$Z$1163:$AG$1170,[1]NoteII.3!$Z$1175:$AG$1182,[1]NoteII.3!$BS$1175:$BZ$1182,[1]NoteII.3!$DJ$1175:$DQ$1182,[1]NoteII.3!$EZ$1175:$FG$1182,[1]NoteII.3!$Z$1187:$AG$1196,[1]NoteII.3!$BS$1187:$BZ$1196,[1]NoteII.3!$DJ$1187:$DQ$1196,[1]NoteII.3!$EZ$1187:$FG$1196,[1]NoteII.3!$Z$1219:$AG$1224,[1]NoteII.3!$BS$1219:$BZ$1224,[1]NoteII.3!$DJ$1219:$DQ$1224,[1]NoteII.3!$EZ$1219:$FG$1224,[1]NoteII.3!$Z$1320:$AG$1325,[1]NoteII.3!$BS$1320:$BZ$1325,[1]NoteII.3!$DJ$1320:$DQ$1325,[1]NoteII.3!$EZ$1320:$FG$1325,[1]NoteII.3!$Z$1328:$AG$1339,[1]NoteII.3!$Z$1342:$AG$1345,[1]NoteII.3!$BS$1328:$BZ$1339,[1]NoteII.3!$BS$1342:$BZ$1345,[1]NoteII.3!$DJ$1328:$DQ$1339,[1]NoteII.3!$DJ$1342:$DQ$1345,[1]NoteII.3!$EZ$1328:$FG$1339,[1]NoteII.3!$EZ$1342:$FG$1345,[1]NoteII.3!$Z$1496:$AG$1502,[1]NoteII.3!$BS$1496:$BZ$1502,[1]NoteII.3!$Z$1127:$AG$1139,[1]NoteII.3!$BS$1127:$BZ$1139,[1]NoteII.3!$Z$1144:$AG$1158,[1]NoteII.3!$BS$1144:$BZ$1158</definedName>
    <definedName name="Note_QD_A.1">[1]NoteII.1!$CN$4:$DZ$685</definedName>
    <definedName name="Note_QD_V.1">[1]NoteII.1!$ED$4:$FP$685</definedName>
    <definedName name="Note_solieugoc.1">[1]NoteII.1!$AR$33:$AS$36,[1]NoteII.1!$AR$82:$AS$83,[1]NoteII.1!$AR$85:$AS$87,[1]NoteII.1!$AR$96:$AS$98,[1]NoteII.1!$AR$110:$AS$112,[1]NoteII.1!$AR$117:$AS$119,[1]NoteII.1!$AR$132:$AS$135,[1]NoteII.1!$AR$160:$AS$167,[1]NoteII.1!$AR$187:$AS$189,[1]NoteII.1!$AR$202:$AS$204,[1]NoteII.1!$AR$213:$AS$215,[1]NoteII.1!$AR$228:$AS$235,[1]NoteII.1!$AR$252:$AS$253,[1]NoteII.1!$AR$268:$AS$270,[1]NoteII.1!$AR$282:$AS$292,[1]NoteII.1!$AR$302:$AS$304,[1]NoteII.1!$AR$315:$AS$320,[1]NoteII.1!$AR$355:$AS$357,[1]NoteII.1!$AR$365:$AS$366,[1]NoteII.1!$AR$381:$AS$383,[1]NoteII.1!$AR$392:$AS$394,[1]NoteII.1!$AR$417:$AS$419,[1]NoteII.1!$AR$427:$AS$432,[1]NoteII.1!$AR$440:$AS$441,[1]NoteII.1!$AR$450:$AS$452,[1]NoteII.1!$AR$674:$AS$674</definedName>
    <definedName name="Note_solieugoc_CBE">[1]CBE!$B$88:$G$118, [1]CBE!$B$31:$G$39, [1]CBE!$B$44:$G$62, [1]CBE!$B$81:$G$84</definedName>
    <definedName name="Note_solieugoc_Equity">[1]Equity!$C$10:$E$10,[1]Equity!$C$13:$E$13,[1]Equity!$C$14,[1]Equity!$C$16:$E$16,[1]Equity!$C$22,[1]Equity!$C$24:$E$24,[1]Equity!$C$25,[1]Equity!$C$27:$E$27,[1]Equity!$C$38:$C$40,[1]Equity!$F$38:$F$40</definedName>
    <definedName name="Note_solieugoc_FA">[1]FA!$C$14:$G$16,[1]FA!$C$18:$G$19,[1]FA!$C$21:$G$21,[1]FA!$C$23:$G$26,[1]FA!$C$31:$G$33,[1]FA!$C$36:$G$39,[1]FA!$C$41:$G$41,[1]FA!$C$43:$G$46,[1]FA!$C$63:$G$65,[1]FA!$C$67:$G$68,[1]FA!$C$70:$G$70,[1]FA!$C$75:$G$77,[1]FA!$C$79:$G$80,[1]FA!$C$82:$G$82,[1]FA!$C$91:$G$91,[1]FA!$C$93:$G$95,[1]FA!$D$104:$G$106,[1]FA!$D$108:$G$109,[1]FA!$D$111:$G$112,[1]FA!$D$117:$G$117,[1]FA!$D$120:$G$123,[1]FA!$D$125:$G$126,[1]FA!$E$143:$G$145,[1]FA!$E$147:$G$148,[1]FA!$E$150:$G$151,[1]FA!$E$156:$G$158,[1]FA!$E$161:$G$164,[1]FA!$E$166:$G$167</definedName>
    <definedName name="Note_solieugoc_FCR">[1]FCR!$B$28:$I$32,[1]FCR!$B$34:$I$39,[1]FCR!$B$41:$I$44,[1]FCR!$E$45:$H$45,[1]FCR!$B$48:$I$64,[1]FCR!$B$68:$I$70,[1]FCR!$B$72:$I$78,[1]FCR!$E$80:$H$81,[1]FCR!$E$90:$H$99</definedName>
    <definedName name="Note_solieugoc_Loanandtax">'[1]HTK.Loan.Tax.AP.DP'!#REF!,'[1]HTK.Loan.Tax.AP.DP'!$D$52:$F$57,'[1]HTK.Loan.Tax.AP.DP'!$E$68:$H$72,'[1]HTK.Loan.Tax.AP.DP'!$D$81:$G$88,'[1]HTK.Loan.Tax.AP.DP'!$D$109:$G$110</definedName>
    <definedName name="Note_totalcurrenyear.1">[1]NoteII.1!$Z$99:$AG$99,[1]NoteII.1!$BS$99:$BZ$99,[1]NoteII.1!$Z$271:$AG$271,[1]NoteII.1!$BS$271:$BZ$271,[1]NoteII.1!$Z$305:$AG$305,[1]NoteII.1!$BS$305:$BZ$305,[1]NoteII.1!$Z$453:$AG$453,[1]NoteII.1!$BS$453:$BZ$453</definedName>
    <definedName name="Note_totalcurrenyear.3">[1]NoteII.3!$Z$264:$AG$264,[1]NoteII.3!$BS$264:$BZ$264,[1]NoteII.3!$Z$1039:$AG$1039,[1]NoteII.3!$BS$1039:$BZ$1039,[1]NoteII.3!$DJ$1039:$DQ$1039,[1]NoteII.3!$EZ$1039:$FG$1039,[1]NoteII.3!$Z$1053:$AG$1053,[1]NoteII.3!$BS$1053:$BZ$1053,[1]NoteII.3!$DJ$1053:$DQ$1053,[1]NoteII.3!$EZ$1053:$FG$1053,[1]NoteII.3!$Z$1068:$AG$1068,[1]NoteII.3!$BS$1068:$BZ$1068,[1]NoteII.3!$DJ$1068:$DQ$1068,[1]NoteII.3!$EZ$1068:$FG$1068,[1]NoteII.3!$Z$1087:$AG$1087,[1]NoteII.3!$BS$1087:$BZ$1087,[1]NoteII.3!$DJ$1087:$DQ$1087,[1]NoteII.3!$EZ$1087:$FG$1087,[1]NoteII.3!$Z$1104:$AG$1104,[1]NoteII.3!$BS$1104:$BZ$1104,[1]NoteII.3!$DJ$1104:$DQ$1104,[1]NoteII.3!$EZ$1104:$FG$1104,[1]NoteII.3!$Z$1122:$AG$1122,[1]NoteII.3!$BS$1122:$BZ$1122,[1]NoteII.3!$DJ$1122:$DQ$1122,[1]NoteII.3!$EZ$1122:$FG$1122,[1]NoteII.3!$EZ$1170:$FG$1170,[1]NoteII.3!$DJ$1170:$DQ$1170,[1]NoteII.3!$BS$1170:$BZ$1170,[1]NoteII.3!$Z$1170:$AG$1170,[1]NoteII.3!$Z$1182:$AG$1182,[1]NoteII.3!$BS$1182:$BZ$1182,[1]NoteII.3!$DJ$1182:$DQ$1182,[1]NoteII.3!$EZ$1182:$FG$1182,[1]NoteII.3!$Z$1196:$AG$1196,[1]NoteII.3!$BS$1196:$BZ$1196,[1]NoteII.3!$DJ$1196:$DQ$1196,[1]NoteII.3!$EZ$1196:$FG$1196,[1]NoteII.3!$Z$1224:$AG$1224,[1]NoteII.3!$BS$1224:$BZ$1224,[1]NoteII.3!$DJ$1224:$DQ$1224,[1]NoteII.3!$EZ$1224:$FG$1224,[1]NoteII.3!$Z$1325:$AG$1325,[1]NoteII.3!$BS$1325:$BZ$1325,[1]NoteII.3!$DJ$1325:$DQ$1325,[1]NoteII.3!$EZ$1325:$FG$1325,[1]NoteII.3!$Z$1339:$AG$1339,[1]NoteII.3!$Z$1345:$AG$1345,[1]NoteII.3!$BS$1339:$BZ$1339,[1]NoteII.3!$BS$1344:$BZ$1345,[1]NoteII.3!$DJ$1339:$DQ$1339,[1]NoteII.3!$DJ$1345:$DQ$1345,[1]NoteII.3!$EZ$1339:$FG$1339,[1]NoteII.3!$EZ$1345:$FG$1345,[1]NoteII.3!$Z$1502:$AG$1502,[1]NoteII.3!$BS$1502:$BZ$1502,[1]NoteII.3!$Z$1139,[1]NoteII.3!$BS$1139,[1]NoteII.3!$Z$1158,[1]NoteII.3!$BS$1158</definedName>
    <definedName name="Note_V.1">[1]NoteII.1!$AW$4:$CI$685</definedName>
    <definedName name="NoteII.1">[1]NoteII.1!$D$4:$AP$685,[1]NoteII.1!$AW$4:$CI$685,[1]NoteII.1!$CN$4:$DZ$685,[1]NoteII.1!$ED$4:$FP$685</definedName>
    <definedName name="NoteII.2">[1]NoteII.2!$D$4:$K$145,[1]NoteII.2!$N$4:$U$145,[1]NoteII.2!$Y$4:$AF$145,[1]NoteII.2!$AI$4:$AP$145</definedName>
    <definedName name="Prep_FSs">[1]Info!$D$42</definedName>
    <definedName name="Printarea_Biamucluc">'[1]Cover&amp;content'!$B$2:$J$78,'[1]Cover&amp;content'!$L$2:$T$78,'[1]Cover&amp;content'!$V$2:$AD$78,'[1]Cover&amp;content'!$AF$1:$AN$78</definedName>
    <definedName name="Taikhoan">'[1]Client''TB'!$A$13:$A$99</definedName>
    <definedName name="TSCD_dulieugoc">[1]FA!$C$14:$G$14,[1]FA!$C$15:$G$26,[1]FA!$C$31:$G$33,[1]FA!$C$37:$G$46,[1]FA!$C$63:$G$63,[1]FA!$C$64:$G$70,[1]FA!$C$75:$G$75,[1]FA!$C$76:$G$82,[1]FA!$C$91:$G$95,[1]FA!$D$104:$G$104,[1]FA!$D$105:$G$112,[1]FA!$D$120:$G$120,[1]FA!$D$121:$G$126,[1]FA!$C$36:$G$36</definedName>
    <definedName name="Z_0395AD67_3524_48C8_846A_0961474036B3_.wvu.Cols" localSheetId="0" hidden="1">BS!#REF!</definedName>
    <definedName name="Z_0395AD67_3524_48C8_846A_0961474036B3_.wvu.FilterData" localSheetId="0" hidden="1">BS!$B$3:$R$151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4" i="1" l="1"/>
  <c r="Q143" i="1"/>
  <c r="Q142" i="1"/>
  <c r="Q140" i="1"/>
  <c r="J139" i="1"/>
  <c r="Q139" i="1"/>
  <c r="J138" i="1"/>
  <c r="L138" i="1"/>
  <c r="Q138" i="1"/>
  <c r="J135" i="1"/>
  <c r="Q135" i="1"/>
  <c r="J134" i="1"/>
  <c r="Q134" i="1"/>
  <c r="K132" i="1"/>
  <c r="J132" i="1"/>
  <c r="Q132" i="1"/>
  <c r="Q131" i="1"/>
  <c r="J131" i="1"/>
  <c r="L131" i="1"/>
  <c r="Q130" i="1"/>
  <c r="J130" i="1"/>
  <c r="Q129" i="1"/>
  <c r="L129" i="1"/>
  <c r="K129" i="1"/>
  <c r="J129" i="1"/>
  <c r="Q128" i="1"/>
  <c r="L128" i="1"/>
  <c r="K128" i="1"/>
  <c r="J128" i="1"/>
  <c r="L127" i="1"/>
  <c r="K127" i="1"/>
  <c r="J127" i="1"/>
  <c r="Q127" i="1"/>
  <c r="Q126" i="1"/>
  <c r="K126" i="1"/>
  <c r="J126" i="1"/>
  <c r="L126" i="1"/>
  <c r="L125" i="1"/>
  <c r="Q125" i="1"/>
  <c r="J124" i="1"/>
  <c r="Q124" i="1"/>
  <c r="Q119" i="1"/>
  <c r="J118" i="1"/>
  <c r="K117" i="1"/>
  <c r="J117" i="1"/>
  <c r="Q117" i="1"/>
  <c r="Q116" i="1"/>
  <c r="L116" i="1"/>
  <c r="Q115" i="1"/>
  <c r="J115" i="1"/>
  <c r="Q114" i="1"/>
  <c r="L114" i="1"/>
  <c r="K114" i="1"/>
  <c r="J114" i="1"/>
  <c r="Q113" i="1"/>
  <c r="L113" i="1"/>
  <c r="K113" i="1"/>
  <c r="J113" i="1"/>
  <c r="L112" i="1"/>
  <c r="K112" i="1"/>
  <c r="J112" i="1"/>
  <c r="Q112" i="1"/>
  <c r="Q111" i="1"/>
  <c r="K111" i="1"/>
  <c r="J111" i="1"/>
  <c r="L111" i="1"/>
  <c r="L110" i="1"/>
  <c r="Q110" i="1"/>
  <c r="J109" i="1"/>
  <c r="Q109" i="1"/>
  <c r="J108" i="1"/>
  <c r="Q108" i="1"/>
  <c r="Q107" i="1"/>
  <c r="J104" i="1"/>
  <c r="K103" i="1"/>
  <c r="J103" i="1"/>
  <c r="Q103" i="1"/>
  <c r="Q102" i="1"/>
  <c r="Q101" i="1"/>
  <c r="J101" i="1"/>
  <c r="Q100" i="1"/>
  <c r="L100" i="1"/>
  <c r="K100" i="1"/>
  <c r="J100" i="1"/>
  <c r="Q99" i="1"/>
  <c r="L99" i="1"/>
  <c r="K99" i="1"/>
  <c r="J99" i="1"/>
  <c r="L98" i="1"/>
  <c r="K98" i="1"/>
  <c r="J98" i="1"/>
  <c r="Q98" i="1"/>
  <c r="Q97" i="1"/>
  <c r="K97" i="1"/>
  <c r="J97" i="1"/>
  <c r="L97" i="1"/>
  <c r="L96" i="1"/>
  <c r="Q96" i="1"/>
  <c r="Q95" i="1"/>
  <c r="Q94" i="1"/>
  <c r="Q93" i="1"/>
  <c r="J91" i="1"/>
  <c r="K91" i="1" s="1"/>
  <c r="Q91" i="1"/>
  <c r="Q89" i="1"/>
  <c r="Q87" i="1"/>
  <c r="Q86" i="1"/>
  <c r="Q85" i="1"/>
  <c r="J82" i="1"/>
  <c r="Q82" i="1"/>
  <c r="Q81" i="1"/>
  <c r="J80" i="1"/>
  <c r="Q80" i="1"/>
  <c r="K78" i="1"/>
  <c r="J78" i="1"/>
  <c r="Q77" i="1"/>
  <c r="Q75" i="1"/>
  <c r="Q74" i="1"/>
  <c r="J74" i="1"/>
  <c r="Q73" i="1"/>
  <c r="L73" i="1"/>
  <c r="K73" i="1"/>
  <c r="J73" i="1"/>
  <c r="Q72" i="1"/>
  <c r="L72" i="1"/>
  <c r="K72" i="1"/>
  <c r="J72" i="1"/>
  <c r="Q70" i="1"/>
  <c r="L71" i="1"/>
  <c r="K71" i="1"/>
  <c r="J71" i="1"/>
  <c r="Q71" i="1"/>
  <c r="Q68" i="1"/>
  <c r="K68" i="1"/>
  <c r="J68" i="1"/>
  <c r="L68" i="1"/>
  <c r="L67" i="1"/>
  <c r="Q67" i="1"/>
  <c r="Q66" i="1"/>
  <c r="J64" i="1"/>
  <c r="Q64" i="1"/>
  <c r="J63" i="1"/>
  <c r="Q63" i="1"/>
  <c r="Q62" i="1"/>
  <c r="J57" i="1"/>
  <c r="Q56" i="1"/>
  <c r="K56" i="1"/>
  <c r="J56" i="1"/>
  <c r="L56" i="1"/>
  <c r="L55" i="1" s="1"/>
  <c r="Q54" i="1"/>
  <c r="J54" i="1"/>
  <c r="K54" i="1" s="1"/>
  <c r="L54" i="1"/>
  <c r="Q53" i="1"/>
  <c r="Q52" i="1"/>
  <c r="Q49" i="1"/>
  <c r="K49" i="1"/>
  <c r="L49" i="1"/>
  <c r="Q48" i="1"/>
  <c r="K48" i="1"/>
  <c r="L48" i="1"/>
  <c r="Q47" i="1"/>
  <c r="Q46" i="1"/>
  <c r="L46" i="1"/>
  <c r="K46" i="1"/>
  <c r="J46" i="1"/>
  <c r="Q45" i="1"/>
  <c r="L45" i="1"/>
  <c r="K45" i="1"/>
  <c r="J45" i="1"/>
  <c r="L44" i="1"/>
  <c r="K44" i="1"/>
  <c r="J44" i="1"/>
  <c r="Q43" i="1"/>
  <c r="J43" i="1"/>
  <c r="Q38" i="1"/>
  <c r="J37" i="1"/>
  <c r="Q37" i="1"/>
  <c r="Q36" i="1"/>
  <c r="Q33" i="1"/>
  <c r="K31" i="1"/>
  <c r="J31" i="1"/>
  <c r="Q30" i="1"/>
  <c r="Q27" i="1"/>
  <c r="Q26" i="1"/>
  <c r="L26" i="1"/>
  <c r="K26" i="1"/>
  <c r="J26" i="1"/>
  <c r="Q25" i="1"/>
  <c r="L25" i="1"/>
  <c r="L24" i="1"/>
  <c r="K24" i="1"/>
  <c r="J24" i="1"/>
  <c r="Q24" i="1"/>
  <c r="Q23" i="1"/>
  <c r="K23" i="1"/>
  <c r="J23" i="1"/>
  <c r="Q22" i="1"/>
  <c r="Q21" i="1"/>
  <c r="Q20" i="1"/>
  <c r="Q19" i="1"/>
  <c r="J17" i="1"/>
  <c r="K15" i="1"/>
  <c r="J15" i="1"/>
  <c r="L15" i="1"/>
  <c r="Q12" i="1"/>
  <c r="L12" i="1"/>
  <c r="Q11" i="1"/>
  <c r="K2" i="1"/>
  <c r="J38" i="1" l="1"/>
  <c r="K38" i="1"/>
  <c r="K21" i="1"/>
  <c r="J70" i="1"/>
  <c r="K42" i="1"/>
  <c r="K22" i="1"/>
  <c r="J22" i="1"/>
  <c r="K35" i="1"/>
  <c r="L74" i="1"/>
  <c r="K74" i="1"/>
  <c r="Q59" i="1"/>
  <c r="J110" i="1"/>
  <c r="K110" i="1"/>
  <c r="K135" i="1"/>
  <c r="K17" i="1"/>
  <c r="L75" i="1"/>
  <c r="K116" i="1"/>
  <c r="K133" i="1"/>
  <c r="L143" i="1"/>
  <c r="J92" i="1"/>
  <c r="K64" i="1"/>
  <c r="K139" i="1"/>
  <c r="Q57" i="1"/>
  <c r="L57" i="1"/>
  <c r="Q118" i="1"/>
  <c r="L118" i="1"/>
  <c r="K12" i="1"/>
  <c r="J12" i="1"/>
  <c r="Q10" i="1"/>
  <c r="J34" i="1"/>
  <c r="K34" i="1" s="1"/>
  <c r="Q55" i="1"/>
  <c r="K57" i="1"/>
  <c r="K80" i="1"/>
  <c r="J93" i="1"/>
  <c r="K93" i="1" s="1"/>
  <c r="L101" i="1"/>
  <c r="K101" i="1"/>
  <c r="K118" i="1"/>
  <c r="J140" i="1"/>
  <c r="L38" i="1"/>
  <c r="J67" i="1"/>
  <c r="J66" i="1" s="1"/>
  <c r="K67" i="1"/>
  <c r="K66" i="1" s="1"/>
  <c r="Q133" i="1"/>
  <c r="L133" i="1"/>
  <c r="K140" i="1"/>
  <c r="J143" i="1"/>
  <c r="K143" i="1"/>
  <c r="L31" i="1"/>
  <c r="Q29" i="1"/>
  <c r="Q15" i="1"/>
  <c r="Q60" i="1"/>
  <c r="L60" i="1"/>
  <c r="L11" i="1"/>
  <c r="J11" i="1"/>
  <c r="L53" i="1"/>
  <c r="L52" i="1" s="1"/>
  <c r="K109" i="1"/>
  <c r="K124" i="1"/>
  <c r="L130" i="1"/>
  <c r="K130" i="1"/>
  <c r="Q136" i="1"/>
  <c r="K53" i="1"/>
  <c r="J53" i="1"/>
  <c r="Q17" i="1"/>
  <c r="L17" i="1"/>
  <c r="J21" i="1"/>
  <c r="Q42" i="1"/>
  <c r="J62" i="1"/>
  <c r="K75" i="1"/>
  <c r="J75" i="1"/>
  <c r="Q16" i="1"/>
  <c r="Q35" i="1"/>
  <c r="L35" i="1"/>
  <c r="K63" i="1"/>
  <c r="L27" i="1"/>
  <c r="K27" i="1"/>
  <c r="J27" i="1"/>
  <c r="K37" i="1"/>
  <c r="J48" i="1"/>
  <c r="J60" i="1"/>
  <c r="Q79" i="1"/>
  <c r="J81" i="1"/>
  <c r="L102" i="1"/>
  <c r="K107" i="1"/>
  <c r="L115" i="1"/>
  <c r="K115" i="1"/>
  <c r="J119" i="1"/>
  <c r="K134" i="1"/>
  <c r="Q14" i="1"/>
  <c r="Q58" i="1"/>
  <c r="Q31" i="1"/>
  <c r="L23" i="1"/>
  <c r="K60" i="1"/>
  <c r="K81" i="1"/>
  <c r="Q92" i="1"/>
  <c r="J94" i="1"/>
  <c r="K94" i="1" s="1"/>
  <c r="J96" i="1"/>
  <c r="K96" i="1"/>
  <c r="Q104" i="1"/>
  <c r="L104" i="1"/>
  <c r="J137" i="1"/>
  <c r="J136" i="1" s="1"/>
  <c r="J102" i="1"/>
  <c r="K119" i="1"/>
  <c r="K137" i="1"/>
  <c r="K144" i="1"/>
  <c r="L144" i="1"/>
  <c r="J144" i="1"/>
  <c r="K102" i="1"/>
  <c r="L22" i="1"/>
  <c r="K104" i="1"/>
  <c r="J125" i="1"/>
  <c r="J20" i="1"/>
  <c r="J25" i="1"/>
  <c r="K25" i="1" s="1"/>
  <c r="Q34" i="1"/>
  <c r="L34" i="1"/>
  <c r="J36" i="1"/>
  <c r="K36" i="1" s="1"/>
  <c r="K43" i="1"/>
  <c r="L43" i="1"/>
  <c r="L47" i="1"/>
  <c r="K47" i="1"/>
  <c r="J47" i="1"/>
  <c r="K82" i="1"/>
  <c r="J95" i="1"/>
  <c r="K95" i="1" s="1"/>
  <c r="K108" i="1"/>
  <c r="J116" i="1"/>
  <c r="K131" i="1"/>
  <c r="J133" i="1"/>
  <c r="L16" i="1"/>
  <c r="L21" i="1"/>
  <c r="J35" i="1"/>
  <c r="L37" i="1"/>
  <c r="Q44" i="1"/>
  <c r="L59" i="1"/>
  <c r="L58" i="1" s="1"/>
  <c r="L64" i="1"/>
  <c r="L79" i="1"/>
  <c r="L82" i="1"/>
  <c r="L95" i="1"/>
  <c r="J107" i="1"/>
  <c r="L109" i="1"/>
  <c r="K138" i="1"/>
  <c r="L140" i="1"/>
  <c r="L20" i="1"/>
  <c r="L63" i="1"/>
  <c r="L81" i="1"/>
  <c r="L94" i="1"/>
  <c r="L108" i="1"/>
  <c r="L124" i="1"/>
  <c r="L135" i="1"/>
  <c r="L137" i="1"/>
  <c r="L139" i="1"/>
  <c r="J58" i="1"/>
  <c r="J49" i="1"/>
  <c r="L80" i="1"/>
  <c r="L93" i="1"/>
  <c r="L107" i="1"/>
  <c r="L119" i="1"/>
  <c r="L134" i="1"/>
  <c r="L36" i="1"/>
  <c r="L78" i="1"/>
  <c r="L91" i="1"/>
  <c r="L103" i="1"/>
  <c r="L117" i="1"/>
  <c r="L132" i="1"/>
  <c r="Q137" i="1"/>
  <c r="Q78" i="1"/>
  <c r="Q106" i="1"/>
  <c r="J10" i="1" l="1"/>
  <c r="J42" i="1"/>
  <c r="J19" i="1"/>
  <c r="K11" i="1"/>
  <c r="J90" i="1"/>
  <c r="J123" i="1"/>
  <c r="J121" i="1" s="1"/>
  <c r="K70" i="1"/>
  <c r="K55" i="1"/>
  <c r="J55" i="1"/>
  <c r="K90" i="1"/>
  <c r="K10" i="1"/>
  <c r="K59" i="1"/>
  <c r="K142" i="1"/>
  <c r="J59" i="1"/>
  <c r="K58" i="1"/>
  <c r="K125" i="1"/>
  <c r="J142" i="1"/>
  <c r="K136" i="1"/>
  <c r="J106" i="1"/>
  <c r="J88" i="1" s="1"/>
  <c r="J33" i="1"/>
  <c r="K33" i="1" s="1"/>
  <c r="K92" i="1"/>
  <c r="L92" i="1"/>
  <c r="K106" i="1"/>
  <c r="K30" i="1"/>
  <c r="J30" i="1"/>
  <c r="J29" i="1" s="1"/>
  <c r="Q90" i="1"/>
  <c r="K79" i="1"/>
  <c r="K16" i="1"/>
  <c r="K20" i="1"/>
  <c r="J79" i="1"/>
  <c r="J77" i="1" s="1"/>
  <c r="K77" i="1" s="1"/>
  <c r="L30" i="1"/>
  <c r="K62" i="1"/>
  <c r="Q121" i="1"/>
  <c r="Q123" i="1"/>
  <c r="J16" i="1"/>
  <c r="J14" i="1" s="1"/>
  <c r="J8" i="1" s="1"/>
  <c r="L136" i="1"/>
  <c r="J146" i="1" l="1"/>
  <c r="K123" i="1"/>
  <c r="K8" i="1"/>
  <c r="J52" i="1"/>
  <c r="J51" i="1" s="1"/>
  <c r="J40" i="1" s="1"/>
  <c r="J84" i="1" s="1"/>
  <c r="J152" i="1" s="1"/>
  <c r="K88" i="1"/>
  <c r="K19" i="1"/>
  <c r="Q88" i="1"/>
  <c r="L88" i="1"/>
  <c r="K121" i="1"/>
  <c r="L8" i="1"/>
  <c r="Q8" i="1"/>
  <c r="Q51" i="1"/>
  <c r="Q40" i="1"/>
  <c r="K14" i="1"/>
  <c r="K29" i="1"/>
  <c r="Q84" i="1" l="1"/>
  <c r="K146" i="1"/>
  <c r="Q5" i="1"/>
  <c r="K52" i="1"/>
  <c r="K51" i="1"/>
  <c r="L146" i="1"/>
  <c r="Q146" i="1"/>
  <c r="J153" i="1"/>
  <c r="L51" i="1"/>
  <c r="K40" i="1" l="1"/>
  <c r="K84" i="1" l="1"/>
</calcChain>
</file>

<file path=xl/sharedStrings.xml><?xml version="1.0" encoding="utf-8"?>
<sst xmlns="http://schemas.openxmlformats.org/spreadsheetml/2006/main" count="171" uniqueCount="146">
  <si>
    <t>BALANCE SHEET</t>
  </si>
  <si>
    <t>&lt;Click for instruction&gt;</t>
  </si>
  <si>
    <t>Items</t>
  </si>
  <si>
    <t>Code</t>
  </si>
  <si>
    <t>Current year
Unaudited</t>
  </si>
  <si>
    <t>Total ADJ</t>
  </si>
  <si>
    <t>Current year
Audited</t>
  </si>
  <si>
    <t>Previous year
per Audited FSs</t>
  </si>
  <si>
    <t>Restated
of errors</t>
  </si>
  <si>
    <t>Previous year
per Audited FSs
restated</t>
  </si>
  <si>
    <t>Variance</t>
  </si>
  <si>
    <t xml:space="preserve">Format
</t>
  </si>
  <si>
    <t>Previous year Per Client's TB</t>
  </si>
  <si>
    <t>OB 
Checking</t>
  </si>
  <si>
    <t>Current year Per Client's TB</t>
  </si>
  <si>
    <t>EB 
Checking</t>
  </si>
  <si>
    <t>Amount</t>
  </si>
  <si>
    <t>%</t>
  </si>
  <si>
    <t>areas</t>
  </si>
  <si>
    <t>opening balance</t>
  </si>
  <si>
    <t>Stay</t>
  </si>
  <si>
    <t>ASSETS</t>
  </si>
  <si>
    <t>A - SHORT-TERM ASSETS</t>
  </si>
  <si>
    <t>I. Cash and cash equivalents</t>
  </si>
  <si>
    <t>▪ Cash</t>
  </si>
  <si>
    <t>▪ Cash equivalents</t>
  </si>
  <si>
    <t>II. Short-term financial investments</t>
  </si>
  <si>
    <t>▪ Trading securities</t>
  </si>
  <si>
    <t>▪ Provision for devaluation of
  trading securities</t>
  </si>
  <si>
    <t>▪ Investments held to maturity</t>
  </si>
  <si>
    <t>III. Short-term receivables</t>
  </si>
  <si>
    <t>▪ Short-term receivables from customers</t>
  </si>
  <si>
    <t>▪ Short-term advances to suppliers</t>
  </si>
  <si>
    <t>▪ Short-term inter-company receivables</t>
  </si>
  <si>
    <t>▪ Receivables according to the progress of
   construction contracts</t>
  </si>
  <si>
    <t>▪ Short-term loan receivables</t>
  </si>
  <si>
    <t>▪ Other short-term receivables</t>
  </si>
  <si>
    <t>▪ Provision for short-term doubtful debts</t>
  </si>
  <si>
    <t>▪ Shortage of assets awaiting resolution</t>
  </si>
  <si>
    <t>IV. Inventories</t>
  </si>
  <si>
    <t>▪ Inventories</t>
  </si>
  <si>
    <t>▪ Provision for devaluation of inventories</t>
  </si>
  <si>
    <t>V. Other short-term assets</t>
  </si>
  <si>
    <t>▪ Short-term prepaid expenses</t>
  </si>
  <si>
    <t>▪ Deductible VAT</t>
  </si>
  <si>
    <t>▪ Taxes and other receivables from
  the State</t>
  </si>
  <si>
    <t>▪ Purchase and resale of government bonds</t>
  </si>
  <si>
    <t>▪ Other short-term assets</t>
  </si>
  <si>
    <t>B - LONG-TERM ASSETS</t>
  </si>
  <si>
    <t>I. Long-term receivables</t>
  </si>
  <si>
    <t>▪ Long-term receivables from customers</t>
  </si>
  <si>
    <t>▪ Long-term advances to suppliers</t>
  </si>
  <si>
    <t>▪ Working capital provided to subordinate
   units</t>
  </si>
  <si>
    <t>▪ Long-term inter-company receivables</t>
  </si>
  <si>
    <t>▪ Long-term loans receivables</t>
  </si>
  <si>
    <t>▪ Other long-term receivables</t>
  </si>
  <si>
    <t>▪ Provision for long-term doubtful debts</t>
  </si>
  <si>
    <t>II. Fixed assets</t>
  </si>
  <si>
    <t>▪ Tangible fixed assets</t>
  </si>
  <si>
    <t xml:space="preserve"> - Historical cost</t>
  </si>
  <si>
    <t xml:space="preserve"> - Accumulated depreciation</t>
  </si>
  <si>
    <t>▪ Finance leased fixed assets</t>
  </si>
  <si>
    <t>▪ Intangible fixed assets</t>
  </si>
  <si>
    <t xml:space="preserve"> - Accumulated amortisation</t>
  </si>
  <si>
    <t xml:space="preserve">III.  Investment property </t>
  </si>
  <si>
    <t>▪ Historical cost</t>
  </si>
  <si>
    <t>▪ Accumulated depreciation</t>
  </si>
  <si>
    <t xml:space="preserve">IV. Long-term assets in progress </t>
  </si>
  <si>
    <t xml:space="preserve">▪ Long-term work in progress </t>
  </si>
  <si>
    <t>▪ Construction in progress</t>
  </si>
  <si>
    <t xml:space="preserve">V. Long-term financial investments </t>
  </si>
  <si>
    <t>▪ Investments in subsidiaries</t>
  </si>
  <si>
    <t>▪ Investments in associates and 
  joint-ventures</t>
  </si>
  <si>
    <t>▪ Investments in other entities</t>
  </si>
  <si>
    <t>▪ Provision for devaluation of
  long-term investments</t>
  </si>
  <si>
    <t>▪ Long-term investments held to maturity</t>
  </si>
  <si>
    <t>VI. Other non-current assets</t>
  </si>
  <si>
    <t>▪ Long-term prepaid expenses</t>
  </si>
  <si>
    <t>▪ Deferred tax assets</t>
  </si>
  <si>
    <t>▪ Long-term tools, equipment and
   spare parts</t>
  </si>
  <si>
    <t>▪ Other long-term assets</t>
  </si>
  <si>
    <t>▪ Goodwill</t>
  </si>
  <si>
    <t>TOTAL ASSETS (270 = 100 + 200)</t>
  </si>
  <si>
    <t>RESOURCES</t>
  </si>
  <si>
    <t>A.  LIABILITIES (300=310+320)</t>
  </si>
  <si>
    <t>I. Current liabilities</t>
  </si>
  <si>
    <t>▪ Short-term payables to suppliers</t>
  </si>
  <si>
    <t>▪ Short-term advances from customers</t>
  </si>
  <si>
    <t>▪ Taxes and other obligations
   to the State</t>
  </si>
  <si>
    <t>▪ Payables to employees</t>
  </si>
  <si>
    <t>▪ Short-term accrued expenses</t>
  </si>
  <si>
    <t>▪ Short-term inter-company payables</t>
  </si>
  <si>
    <t>▪ Payables according to the progress of
   construction contracts</t>
  </si>
  <si>
    <t>▪ Short-term unearned revenue</t>
  </si>
  <si>
    <t>▪ Other short-term payables</t>
  </si>
  <si>
    <t xml:space="preserve">▪ Short-term loans and finance lease
  liabilities </t>
  </si>
  <si>
    <t>▪ Short-term payable provisions</t>
  </si>
  <si>
    <t>▪ Bonus and welfare fund</t>
  </si>
  <si>
    <t>▪ Price stablisation fund</t>
  </si>
  <si>
    <t xml:space="preserve">▪ Purchase and resale of government bonds </t>
  </si>
  <si>
    <t>II. Non-current liabilities</t>
  </si>
  <si>
    <t>▪ Long-term payables to suppliers</t>
  </si>
  <si>
    <t>▪ Long-term advances from customers</t>
  </si>
  <si>
    <t>▪ Long-term accrued expenses</t>
  </si>
  <si>
    <t xml:space="preserve">▪ Inter-company payables on working 
 capital </t>
  </si>
  <si>
    <t>▪ Long-term inter-company payables</t>
  </si>
  <si>
    <t>▪ Long-term unearned revenue</t>
  </si>
  <si>
    <t>▪ Other long-term payables</t>
  </si>
  <si>
    <t>▪  Long-term loans and finance lease
   liabilities</t>
  </si>
  <si>
    <t>▪ Convertible bonds</t>
  </si>
  <si>
    <t>▪ Redeemable preference shares</t>
  </si>
  <si>
    <t>▪ Deferred tax liabilities</t>
  </si>
  <si>
    <t>▪ Long-term payable provisions</t>
  </si>
  <si>
    <t>▪ Scientific and technological
  development fund</t>
  </si>
  <si>
    <t>OWNERS' EQUITY</t>
  </si>
  <si>
    <t>I. Owners' equity</t>
  </si>
  <si>
    <t>▪ Contributed capital</t>
  </si>
  <si>
    <t xml:space="preserve">  - Common shares embeded 
     the voting right</t>
  </si>
  <si>
    <t>411a</t>
  </si>
  <si>
    <t xml:space="preserve">  - Irredeemable preference shares</t>
  </si>
  <si>
    <t>411b</t>
  </si>
  <si>
    <t>▪ Capital surplus</t>
  </si>
  <si>
    <t>▪ Option to convert bonds</t>
  </si>
  <si>
    <t>▪ Other capital</t>
  </si>
  <si>
    <t>▪ Treasury shares</t>
  </si>
  <si>
    <t>▪ Difference in revaluation of assets</t>
  </si>
  <si>
    <t>▪ Foreign exchange difference</t>
  </si>
  <si>
    <t>▪ Investment and development fund</t>
  </si>
  <si>
    <t>▪ Enterprise restructuring support fund</t>
  </si>
  <si>
    <t>▪ Other equity funds</t>
  </si>
  <si>
    <t>▪ Retained profits/(losses)</t>
  </si>
  <si>
    <t xml:space="preserve">  - Previous years' retained
    profits/(losses)</t>
  </si>
  <si>
    <t>421a</t>
  </si>
  <si>
    <t xml:space="preserve">  - Current year's retained 
    profits/(losses)</t>
  </si>
  <si>
    <t>421b</t>
  </si>
  <si>
    <t>▪ Capital expenditure fund</t>
  </si>
  <si>
    <t>▪ Non-controlling interest</t>
  </si>
  <si>
    <t>II. Other resources and other funds</t>
  </si>
  <si>
    <t>▪ Funding</t>
  </si>
  <si>
    <t xml:space="preserve">▪ Funds that form fixed assets </t>
  </si>
  <si>
    <t>TOTAL RESOURCES (440 = 300+ 400)</t>
  </si>
  <si>
    <t>Note:</t>
  </si>
  <si>
    <t>Checking link BS and PL</t>
  </si>
  <si>
    <t>Impact of adjusted directly to Equity</t>
  </si>
  <si>
    <t>Impact of restated OB</t>
  </si>
  <si>
    <t>Checking (TS = CN + VCSH)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</si>
</sst>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409]d/mmm/yyyy;@"/>
    <numFmt numFmtId="165" formatCode="_(* #,##0_);_(* \(#,##0\);_(* &quot;-&quot;??_);_(@_)"/>
    <numFmt numFmtId="166" formatCode="_(* #,##0.00_);_(* \(#,##0.00\);_(* &quot;-&quot;_);_(@_)"/>
    <numFmt numFmtId="167" formatCode="_-* #,##0.00_-;\-* #,##0.00_-;_-* &quot;-&quot;??_-;_-@_-"/>
  </numFmts>
  <fonts count="26" x14ac:knownFonts="1">
    <font>
      <sz val="11"/>
      <color theme="1"/>
      <name val="Calibri"/>
      <family val="2"/>
      <scheme val="minor"/>
    </font>
    <font>
      <sz val="11"/>
      <color theme="1"/>
      <name val="Calibri"/>
      <family val="2"/>
      <scheme val="minor"/>
    </font>
    <font>
      <sz val="10"/>
      <name val="Arial"/>
      <family val="2"/>
    </font>
    <font>
      <b/>
      <sz val="9.5"/>
      <name val="Arial"/>
      <family val="2"/>
    </font>
    <font>
      <sz val="9.5"/>
      <color theme="1"/>
      <name val="Arial"/>
      <family val="2"/>
    </font>
    <font>
      <sz val="9.5"/>
      <name val="Arial"/>
      <family val="2"/>
    </font>
    <font>
      <sz val="11"/>
      <color theme="1"/>
      <name val="Times New Roman"/>
      <family val="2"/>
    </font>
    <font>
      <b/>
      <sz val="11"/>
      <name val="Times New Roman"/>
      <family val="1"/>
    </font>
    <font>
      <sz val="11"/>
      <color indexed="8"/>
      <name val="Times New Roman"/>
      <family val="2"/>
    </font>
    <font>
      <sz val="9.5"/>
      <color rgb="FF00B0F0"/>
      <name val="Arial"/>
      <family val="2"/>
    </font>
    <font>
      <i/>
      <u/>
      <sz val="9.5"/>
      <name val="Arial"/>
      <family val="2"/>
    </font>
    <font>
      <sz val="9.5"/>
      <color rgb="FFFF0000"/>
      <name val="Arial"/>
      <family val="2"/>
    </font>
    <font>
      <sz val="11"/>
      <name val="Times New Roman"/>
      <family val="1"/>
    </font>
    <font>
      <sz val="11"/>
      <color rgb="FFFF0000"/>
      <name val="Times New Roman"/>
      <family val="1"/>
    </font>
    <font>
      <b/>
      <sz val="9.5"/>
      <color indexed="10"/>
      <name val="Arial"/>
      <family val="2"/>
    </font>
    <font>
      <b/>
      <sz val="9.5"/>
      <color rgb="FFFF0000"/>
      <name val="Arial"/>
      <family val="2"/>
    </font>
    <font>
      <b/>
      <sz val="11"/>
      <color rgb="FFFF0000"/>
      <name val="Times New Roman"/>
      <family val="1"/>
    </font>
    <font>
      <b/>
      <i/>
      <sz val="9.5"/>
      <name val="Arial"/>
      <family val="2"/>
    </font>
    <font>
      <i/>
      <sz val="9.5"/>
      <name val="Arial"/>
      <family val="2"/>
    </font>
    <font>
      <b/>
      <i/>
      <sz val="9.5"/>
      <color rgb="FFFF0000"/>
      <name val="Arial"/>
      <family val="2"/>
    </font>
    <font>
      <b/>
      <i/>
      <sz val="11"/>
      <name val="Times New Roman"/>
      <family val="1"/>
    </font>
    <font>
      <i/>
      <sz val="9.5"/>
      <color rgb="FFFF0000"/>
      <name val="Arial"/>
      <family val="2"/>
    </font>
    <font>
      <i/>
      <sz val="9.5"/>
      <color theme="1"/>
      <name val="Arial"/>
      <family val="2"/>
    </font>
    <font>
      <sz val="11"/>
      <color theme="1"/>
      <name val="Times New Roman"/>
      <family val="1"/>
    </font>
    <font>
      <i/>
      <sz val="11"/>
      <color rgb="FFFF0000"/>
      <name val="Times New Roman"/>
      <family val="1"/>
    </font>
    <font>
      <sz val="9.5"/>
      <color indexed="1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indexed="4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auto="1"/>
      </left>
      <right/>
      <top/>
      <bottom/>
      <diagonal/>
    </border>
    <border>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164" fontId="2" fillId="0" borderId="0"/>
    <xf numFmtId="9" fontId="6" fillId="0" borderId="0" applyFont="0" applyFill="0" applyBorder="0" applyAlignment="0" applyProtection="0"/>
    <xf numFmtId="43" fontId="6" fillId="0" borderId="0" applyFont="0" applyFill="0" applyBorder="0" applyAlignment="0" applyProtection="0"/>
    <xf numFmtId="164" fontId="6" fillId="0" borderId="0"/>
    <xf numFmtId="43" fontId="8" fillId="0" borderId="0" applyFont="0" applyFill="0" applyBorder="0" applyAlignment="0" applyProtection="0"/>
    <xf numFmtId="167" fontId="1" fillId="0" borderId="0" applyFont="0" applyFill="0" applyBorder="0" applyAlignment="0" applyProtection="0"/>
  </cellStyleXfs>
  <cellXfs count="155">
    <xf numFmtId="0" fontId="0" fillId="0" borderId="0" xfId="0"/>
    <xf numFmtId="0" fontId="3" fillId="0" borderId="0" xfId="2" applyNumberFormat="1" applyFont="1" applyAlignment="1">
      <alignment vertical="top"/>
    </xf>
    <xf numFmtId="165" fontId="3" fillId="0" borderId="0" xfId="1" applyNumberFormat="1" applyFont="1" applyAlignment="1">
      <alignment vertical="top"/>
    </xf>
    <xf numFmtId="165" fontId="4" fillId="0" borderId="0" xfId="1" applyNumberFormat="1" applyFont="1" applyAlignment="1">
      <alignment vertical="top" wrapText="1"/>
    </xf>
    <xf numFmtId="43" fontId="4" fillId="0" borderId="0" xfId="1" applyFont="1" applyAlignment="1">
      <alignment vertical="top" wrapText="1"/>
    </xf>
    <xf numFmtId="165" fontId="3" fillId="0" borderId="0" xfId="1" applyNumberFormat="1" applyFont="1" applyAlignment="1">
      <alignment horizontal="right" vertical="top"/>
    </xf>
    <xf numFmtId="165" fontId="5" fillId="0" borderId="0" xfId="1" applyNumberFormat="1" applyFont="1" applyAlignment="1">
      <alignment vertical="top"/>
    </xf>
    <xf numFmtId="9" fontId="5" fillId="0" borderId="0" xfId="3" applyFont="1" applyAlignment="1">
      <alignment vertical="top"/>
    </xf>
    <xf numFmtId="164" fontId="5" fillId="0" borderId="0" xfId="2" applyFont="1" applyAlignment="1">
      <alignment horizontal="center" vertical="top"/>
    </xf>
    <xf numFmtId="43" fontId="3" fillId="0" borderId="0" xfId="4" applyFont="1" applyAlignment="1">
      <alignment vertical="top"/>
    </xf>
    <xf numFmtId="43" fontId="7" fillId="0" borderId="0" xfId="4" applyFont="1" applyFill="1" applyAlignment="1">
      <alignment vertical="top"/>
    </xf>
    <xf numFmtId="164" fontId="5" fillId="0" borderId="0" xfId="2" applyFont="1" applyAlignment="1">
      <alignment vertical="top"/>
    </xf>
    <xf numFmtId="164" fontId="4" fillId="0" borderId="0" xfId="5" applyFont="1" applyAlignment="1">
      <alignment vertical="top"/>
    </xf>
    <xf numFmtId="0" fontId="5" fillId="0" borderId="0" xfId="6" applyNumberFormat="1" applyFont="1" applyAlignment="1">
      <alignment vertical="top"/>
    </xf>
    <xf numFmtId="0" fontId="5" fillId="0" borderId="0" xfId="2" applyNumberFormat="1" applyFont="1" applyAlignment="1">
      <alignment vertical="top"/>
    </xf>
    <xf numFmtId="165" fontId="5" fillId="0" borderId="0" xfId="1" applyNumberFormat="1" applyFont="1" applyAlignment="1">
      <alignment horizontal="center" vertical="top"/>
    </xf>
    <xf numFmtId="43" fontId="9" fillId="0" borderId="0" xfId="1" applyFont="1" applyAlignment="1">
      <alignment horizontal="right" vertical="top"/>
    </xf>
    <xf numFmtId="165" fontId="5" fillId="0" borderId="0" xfId="1" applyNumberFormat="1" applyFont="1" applyAlignment="1">
      <alignment horizontal="right" vertical="top"/>
    </xf>
    <xf numFmtId="164" fontId="10" fillId="0" borderId="0" xfId="5" applyFont="1" applyAlignment="1">
      <alignment horizontal="right" vertical="top"/>
    </xf>
    <xf numFmtId="43" fontId="5" fillId="0" borderId="0" xfId="4" applyFont="1" applyAlignment="1">
      <alignment vertical="top"/>
    </xf>
    <xf numFmtId="43" fontId="11" fillId="0" borderId="0" xfId="4" applyFont="1" applyAlignment="1">
      <alignment vertical="top"/>
    </xf>
    <xf numFmtId="43" fontId="12" fillId="0" borderId="0" xfId="4" applyFont="1" applyFill="1" applyAlignment="1">
      <alignment vertical="top"/>
    </xf>
    <xf numFmtId="43" fontId="13" fillId="0" borderId="0" xfId="4" applyFont="1" applyFill="1" applyAlignment="1">
      <alignment vertical="top"/>
    </xf>
    <xf numFmtId="0" fontId="3" fillId="2" borderId="1" xfId="5" applyNumberFormat="1" applyFont="1" applyFill="1" applyBorder="1" applyAlignment="1">
      <alignment horizontal="center" vertical="top" wrapText="1"/>
    </xf>
    <xf numFmtId="0" fontId="3" fillId="2" borderId="1" xfId="1" applyNumberFormat="1" applyFont="1" applyFill="1" applyBorder="1" applyAlignment="1">
      <alignment horizontal="right" vertical="top" wrapText="1"/>
    </xf>
    <xf numFmtId="43" fontId="3" fillId="2" borderId="1" xfId="1" applyFont="1" applyFill="1" applyBorder="1" applyAlignment="1">
      <alignment horizontal="right" vertical="top" wrapText="1"/>
    </xf>
    <xf numFmtId="0" fontId="3" fillId="2" borderId="2" xfId="1" applyNumberFormat="1" applyFont="1" applyFill="1" applyBorder="1" applyAlignment="1">
      <alignment horizontal="right" vertical="top" wrapText="1"/>
    </xf>
    <xf numFmtId="0" fontId="3" fillId="2" borderId="1" xfId="6" applyNumberFormat="1" applyFont="1" applyFill="1" applyBorder="1" applyAlignment="1">
      <alignment horizontal="center" vertical="top" wrapText="1"/>
    </xf>
    <xf numFmtId="0" fontId="3" fillId="2" borderId="1" xfId="3" applyNumberFormat="1" applyFont="1" applyFill="1" applyBorder="1" applyAlignment="1">
      <alignment horizontal="center" vertical="top" wrapText="1"/>
    </xf>
    <xf numFmtId="0" fontId="14" fillId="0" borderId="0" xfId="2" applyNumberFormat="1" applyFont="1" applyAlignment="1">
      <alignment horizontal="center" vertical="top" wrapText="1"/>
    </xf>
    <xf numFmtId="0" fontId="3" fillId="2" borderId="1" xfId="4" applyNumberFormat="1" applyFont="1" applyFill="1" applyBorder="1" applyAlignment="1">
      <alignment horizontal="right" vertical="top" wrapText="1"/>
    </xf>
    <xf numFmtId="0" fontId="3" fillId="2" borderId="0" xfId="4" applyNumberFormat="1" applyFont="1" applyFill="1" applyBorder="1" applyAlignment="1">
      <alignment horizontal="right" vertical="top" wrapText="1"/>
    </xf>
    <xf numFmtId="0" fontId="4" fillId="0" borderId="0" xfId="5" applyNumberFormat="1" applyFont="1" applyAlignment="1">
      <alignment vertical="top"/>
    </xf>
    <xf numFmtId="0" fontId="3" fillId="2" borderId="3" xfId="1" applyNumberFormat="1" applyFont="1" applyFill="1" applyBorder="1" applyAlignment="1">
      <alignment horizontal="right" vertical="top" wrapText="1"/>
    </xf>
    <xf numFmtId="0" fontId="3" fillId="2" borderId="1" xfId="1" applyNumberFormat="1" applyFont="1" applyFill="1" applyBorder="1" applyAlignment="1">
      <alignment horizontal="center" vertical="top" wrapText="1"/>
    </xf>
    <xf numFmtId="0" fontId="3" fillId="2" borderId="1" xfId="3" applyNumberFormat="1" applyFont="1" applyFill="1" applyBorder="1" applyAlignment="1">
      <alignment horizontal="center" vertical="top" wrapText="1"/>
    </xf>
    <xf numFmtId="0" fontId="5" fillId="0" borderId="4" xfId="6" applyNumberFormat="1" applyFont="1" applyBorder="1" applyAlignment="1">
      <alignment horizontal="center" vertical="top" wrapText="1"/>
    </xf>
    <xf numFmtId="0" fontId="5" fillId="0" borderId="4" xfId="5" applyNumberFormat="1" applyFont="1" applyBorder="1" applyAlignment="1">
      <alignment horizontal="center" vertical="top" wrapText="1"/>
    </xf>
    <xf numFmtId="165" fontId="5" fillId="0" borderId="5" xfId="1" applyNumberFormat="1" applyFont="1" applyBorder="1" applyAlignment="1">
      <alignment horizontal="right" vertical="top" wrapText="1"/>
    </xf>
    <xf numFmtId="165" fontId="5" fillId="0" borderId="4" xfId="1" applyNumberFormat="1" applyFont="1" applyBorder="1" applyAlignment="1">
      <alignment horizontal="right" vertical="top" wrapText="1"/>
    </xf>
    <xf numFmtId="43" fontId="5" fillId="0" borderId="4" xfId="1" applyFont="1" applyBorder="1" applyAlignment="1">
      <alignment horizontal="right" vertical="top" wrapText="1"/>
    </xf>
    <xf numFmtId="9" fontId="5" fillId="0" borderId="4" xfId="3" applyFont="1" applyBorder="1" applyAlignment="1">
      <alignment horizontal="right" vertical="top" wrapText="1"/>
    </xf>
    <xf numFmtId="41" fontId="5" fillId="0" borderId="0" xfId="2" applyNumberFormat="1" applyFont="1" applyAlignment="1">
      <alignment horizontal="center" vertical="top"/>
    </xf>
    <xf numFmtId="43" fontId="5" fillId="0" borderId="4" xfId="4" applyFont="1" applyBorder="1" applyAlignment="1">
      <alignment horizontal="center" vertical="top" wrapText="1"/>
    </xf>
    <xf numFmtId="165" fontId="15" fillId="0" borderId="4" xfId="4" applyNumberFormat="1" applyFont="1" applyBorder="1" applyAlignment="1">
      <alignment horizontal="center" vertical="top" wrapText="1"/>
    </xf>
    <xf numFmtId="165" fontId="15" fillId="0" borderId="0" xfId="4" applyNumberFormat="1" applyFont="1" applyBorder="1" applyAlignment="1">
      <alignment horizontal="center" vertical="top" wrapText="1"/>
    </xf>
    <xf numFmtId="43" fontId="12" fillId="0" borderId="4" xfId="4" applyFont="1" applyFill="1" applyBorder="1" applyAlignment="1">
      <alignment horizontal="center" vertical="top" wrapText="1"/>
    </xf>
    <xf numFmtId="165" fontId="16" fillId="0" borderId="4" xfId="4" applyNumberFormat="1" applyFont="1" applyFill="1" applyBorder="1" applyAlignment="1">
      <alignment horizontal="center" vertical="top" wrapText="1"/>
    </xf>
    <xf numFmtId="0" fontId="3" fillId="0" borderId="4" xfId="6" applyNumberFormat="1" applyFont="1" applyBorder="1" applyAlignment="1">
      <alignment horizontal="left" vertical="top" wrapText="1"/>
    </xf>
    <xf numFmtId="166" fontId="5" fillId="0" borderId="5" xfId="1" applyNumberFormat="1" applyFont="1" applyBorder="1" applyAlignment="1">
      <alignment horizontal="right" vertical="top" wrapText="1"/>
    </xf>
    <xf numFmtId="166" fontId="5" fillId="0" borderId="4" xfId="1" applyNumberFormat="1" applyFont="1" applyBorder="1" applyAlignment="1">
      <alignment horizontal="right" vertical="top" wrapText="1"/>
    </xf>
    <xf numFmtId="165" fontId="5" fillId="0" borderId="4" xfId="1" applyNumberFormat="1" applyFont="1" applyBorder="1" applyAlignment="1">
      <alignment horizontal="center" vertical="top" wrapText="1"/>
    </xf>
    <xf numFmtId="165" fontId="11" fillId="0" borderId="4" xfId="1" applyNumberFormat="1" applyFont="1" applyBorder="1" applyAlignment="1">
      <alignment horizontal="center" vertical="top" wrapText="1"/>
    </xf>
    <xf numFmtId="165" fontId="11" fillId="0" borderId="0" xfId="1" applyNumberFormat="1" applyFont="1" applyBorder="1" applyAlignment="1">
      <alignment horizontal="center" vertical="top" wrapText="1"/>
    </xf>
    <xf numFmtId="165" fontId="12" fillId="0" borderId="4" xfId="7" applyNumberFormat="1" applyFont="1" applyFill="1" applyBorder="1" applyAlignment="1">
      <alignment horizontal="right" vertical="top" wrapText="1"/>
    </xf>
    <xf numFmtId="43" fontId="13" fillId="0" borderId="4" xfId="4" applyFont="1" applyFill="1" applyBorder="1" applyAlignment="1">
      <alignment horizontal="center" vertical="top" wrapText="1"/>
    </xf>
    <xf numFmtId="0" fontId="3" fillId="0" borderId="4" xfId="6" applyNumberFormat="1" applyFont="1" applyBorder="1" applyAlignment="1">
      <alignment vertical="top" wrapText="1"/>
    </xf>
    <xf numFmtId="0" fontId="3" fillId="0" borderId="4" xfId="5" applyNumberFormat="1" applyFont="1" applyBorder="1" applyAlignment="1">
      <alignment horizontal="center" vertical="top" wrapText="1"/>
    </xf>
    <xf numFmtId="166" fontId="3" fillId="0" borderId="5" xfId="1" applyNumberFormat="1" applyFont="1" applyBorder="1" applyAlignment="1">
      <alignment horizontal="right" vertical="top" wrapText="1"/>
    </xf>
    <xf numFmtId="165" fontId="5" fillId="0" borderId="4" xfId="1" applyNumberFormat="1" applyFont="1" applyBorder="1" applyAlignment="1">
      <alignment vertical="top" wrapText="1"/>
    </xf>
    <xf numFmtId="165" fontId="11" fillId="0" borderId="4" xfId="1" applyNumberFormat="1" applyFont="1" applyBorder="1" applyAlignment="1">
      <alignment vertical="top" wrapText="1"/>
    </xf>
    <xf numFmtId="165" fontId="11" fillId="0" borderId="0" xfId="1" applyNumberFormat="1" applyFont="1" applyBorder="1" applyAlignment="1">
      <alignment vertical="top" wrapText="1"/>
    </xf>
    <xf numFmtId="43" fontId="13" fillId="0" borderId="4" xfId="4" applyFont="1" applyFill="1" applyBorder="1" applyAlignment="1">
      <alignment vertical="top" wrapText="1"/>
    </xf>
    <xf numFmtId="0" fontId="3" fillId="0" borderId="4" xfId="5" applyNumberFormat="1" applyFont="1" applyBorder="1" applyAlignment="1">
      <alignment vertical="top"/>
    </xf>
    <xf numFmtId="165" fontId="3" fillId="0" borderId="5" xfId="1" applyNumberFormat="1" applyFont="1" applyBorder="1" applyAlignment="1">
      <alignment horizontal="right" vertical="top" wrapText="1"/>
    </xf>
    <xf numFmtId="43" fontId="3" fillId="0" borderId="5" xfId="1" applyFont="1" applyBorder="1" applyAlignment="1">
      <alignment horizontal="right" vertical="top" wrapText="1"/>
    </xf>
    <xf numFmtId="9" fontId="5" fillId="0" borderId="4" xfId="3" applyFont="1" applyBorder="1" applyAlignment="1">
      <alignment horizontal="right" vertical="top"/>
    </xf>
    <xf numFmtId="165" fontId="3" fillId="0" borderId="4" xfId="1" applyNumberFormat="1" applyFont="1" applyBorder="1" applyAlignment="1">
      <alignment horizontal="center" vertical="top" wrapText="1"/>
    </xf>
    <xf numFmtId="165" fontId="15" fillId="0" borderId="4" xfId="1" applyNumberFormat="1" applyFont="1" applyBorder="1" applyAlignment="1">
      <alignment horizontal="center" vertical="top" wrapText="1"/>
    </xf>
    <xf numFmtId="165" fontId="15" fillId="0" borderId="0" xfId="1" applyNumberFormat="1" applyFont="1" applyBorder="1" applyAlignment="1">
      <alignment horizontal="center" vertical="top" wrapText="1"/>
    </xf>
    <xf numFmtId="165" fontId="7" fillId="0" borderId="4" xfId="7" applyNumberFormat="1" applyFont="1" applyFill="1" applyBorder="1" applyAlignment="1">
      <alignment horizontal="right" vertical="top" wrapText="1"/>
    </xf>
    <xf numFmtId="165" fontId="3" fillId="0" borderId="4" xfId="1" applyNumberFormat="1" applyFont="1" applyBorder="1" applyAlignment="1">
      <alignment horizontal="right" vertical="top" wrapText="1"/>
    </xf>
    <xf numFmtId="43" fontId="3" fillId="0" borderId="4" xfId="1" applyFont="1" applyBorder="1" applyAlignment="1">
      <alignment horizontal="right" vertical="top" wrapText="1"/>
    </xf>
    <xf numFmtId="9" fontId="3" fillId="0" borderId="4" xfId="3" applyFont="1" applyBorder="1" applyAlignment="1">
      <alignment horizontal="right" vertical="top" wrapText="1"/>
    </xf>
    <xf numFmtId="0" fontId="17" fillId="0" borderId="4" xfId="5" applyNumberFormat="1" applyFont="1" applyBorder="1" applyAlignment="1">
      <alignment vertical="top"/>
    </xf>
    <xf numFmtId="0" fontId="17" fillId="0" borderId="4" xfId="5" applyNumberFormat="1" applyFont="1" applyBorder="1" applyAlignment="1">
      <alignment horizontal="center" vertical="top" wrapText="1"/>
    </xf>
    <xf numFmtId="165" fontId="17" fillId="0" borderId="5" xfId="1" applyNumberFormat="1" applyFont="1" applyBorder="1" applyAlignment="1">
      <alignment horizontal="right" vertical="top" wrapText="1"/>
    </xf>
    <xf numFmtId="43" fontId="17" fillId="0" borderId="5" xfId="1" applyFont="1" applyBorder="1" applyAlignment="1">
      <alignment horizontal="right" vertical="top" wrapText="1"/>
    </xf>
    <xf numFmtId="9" fontId="18" fillId="0" borderId="4" xfId="3" applyFont="1" applyBorder="1" applyAlignment="1">
      <alignment horizontal="right" vertical="top"/>
    </xf>
    <xf numFmtId="164" fontId="18" fillId="0" borderId="0" xfId="2" applyFont="1" applyAlignment="1">
      <alignment horizontal="center" vertical="top"/>
    </xf>
    <xf numFmtId="165" fontId="17" fillId="0" borderId="4" xfId="1" applyNumberFormat="1" applyFont="1" applyBorder="1" applyAlignment="1">
      <alignment horizontal="center" vertical="top" wrapText="1"/>
    </xf>
    <xf numFmtId="165" fontId="19" fillId="0" borderId="4" xfId="1" applyNumberFormat="1" applyFont="1" applyBorder="1" applyAlignment="1">
      <alignment horizontal="center" vertical="top" wrapText="1"/>
    </xf>
    <xf numFmtId="165" fontId="19" fillId="0" borderId="0" xfId="1" applyNumberFormat="1" applyFont="1" applyBorder="1" applyAlignment="1">
      <alignment horizontal="center" vertical="top" wrapText="1"/>
    </xf>
    <xf numFmtId="165" fontId="20" fillId="0" borderId="4" xfId="7" applyNumberFormat="1" applyFont="1" applyFill="1" applyBorder="1" applyAlignment="1">
      <alignment horizontal="right" vertical="top" wrapText="1"/>
    </xf>
    <xf numFmtId="164" fontId="18" fillId="0" borderId="0" xfId="2" applyFont="1" applyAlignment="1">
      <alignment vertical="top"/>
    </xf>
    <xf numFmtId="164" fontId="5" fillId="0" borderId="4" xfId="5" applyFont="1" applyBorder="1" applyAlignment="1">
      <alignment vertical="top"/>
    </xf>
    <xf numFmtId="43" fontId="5" fillId="3" borderId="4" xfId="1" applyFont="1" applyFill="1" applyBorder="1" applyAlignment="1">
      <alignment horizontal="right" vertical="top" wrapText="1"/>
    </xf>
    <xf numFmtId="165" fontId="12" fillId="3" borderId="4" xfId="7" applyNumberFormat="1" applyFont="1" applyFill="1" applyBorder="1" applyAlignment="1">
      <alignment horizontal="right" vertical="top" wrapText="1"/>
    </xf>
    <xf numFmtId="0" fontId="5" fillId="0" borderId="4" xfId="5" applyNumberFormat="1" applyFont="1" applyBorder="1" applyAlignment="1">
      <alignment vertical="top"/>
    </xf>
    <xf numFmtId="43" fontId="5" fillId="0" borderId="5" xfId="1" applyFont="1" applyBorder="1" applyAlignment="1">
      <alignment horizontal="right" vertical="top" wrapText="1"/>
    </xf>
    <xf numFmtId="165" fontId="11" fillId="0" borderId="5" xfId="1" applyNumberFormat="1" applyFont="1" applyBorder="1" applyAlignment="1">
      <alignment horizontal="center" vertical="top" wrapText="1"/>
    </xf>
    <xf numFmtId="167" fontId="20" fillId="0" borderId="4" xfId="7" applyFont="1" applyFill="1" applyBorder="1" applyAlignment="1">
      <alignment horizontal="right" vertical="top" wrapText="1"/>
    </xf>
    <xf numFmtId="43" fontId="5" fillId="3" borderId="5" xfId="1" applyFont="1" applyFill="1" applyBorder="1" applyAlignment="1">
      <alignment horizontal="right" vertical="top" wrapText="1"/>
    </xf>
    <xf numFmtId="164" fontId="5" fillId="0" borderId="4" xfId="5" applyFont="1" applyBorder="1" applyAlignment="1">
      <alignment vertical="top" wrapText="1"/>
    </xf>
    <xf numFmtId="164" fontId="11" fillId="0" borderId="0" xfId="2" applyFont="1" applyAlignment="1">
      <alignment vertical="top"/>
    </xf>
    <xf numFmtId="0" fontId="5" fillId="0" borderId="4" xfId="5" applyNumberFormat="1" applyFont="1" applyBorder="1" applyAlignment="1">
      <alignment horizontal="justify" vertical="top" wrapText="1"/>
    </xf>
    <xf numFmtId="165" fontId="5" fillId="0" borderId="0" xfId="2" applyNumberFormat="1" applyFont="1" applyAlignment="1">
      <alignment vertical="top"/>
    </xf>
    <xf numFmtId="0" fontId="3" fillId="0" borderId="4" xfId="5" applyNumberFormat="1" applyFont="1" applyBorder="1" applyAlignment="1">
      <alignment horizontal="justify" vertical="top" wrapText="1"/>
    </xf>
    <xf numFmtId="165" fontId="3" fillId="0" borderId="4" xfId="1" applyNumberFormat="1" applyFont="1" applyBorder="1" applyAlignment="1">
      <alignment vertical="top" wrapText="1"/>
    </xf>
    <xf numFmtId="165" fontId="15" fillId="0" borderId="4" xfId="1" applyNumberFormat="1" applyFont="1" applyBorder="1" applyAlignment="1">
      <alignment vertical="top" wrapText="1"/>
    </xf>
    <xf numFmtId="165" fontId="15" fillId="0" borderId="0" xfId="1" applyNumberFormat="1" applyFont="1" applyBorder="1" applyAlignment="1">
      <alignment vertical="top" wrapText="1"/>
    </xf>
    <xf numFmtId="9" fontId="5" fillId="0" borderId="6" xfId="3" applyFont="1" applyBorder="1" applyAlignment="1">
      <alignment horizontal="center" vertical="top"/>
    </xf>
    <xf numFmtId="0" fontId="18" fillId="0" borderId="4" xfId="5" applyNumberFormat="1" applyFont="1" applyBorder="1" applyAlignment="1">
      <alignment vertical="top"/>
    </xf>
    <xf numFmtId="0" fontId="18" fillId="0" borderId="4" xfId="5" applyNumberFormat="1" applyFont="1" applyBorder="1" applyAlignment="1">
      <alignment horizontal="center" vertical="top" wrapText="1"/>
    </xf>
    <xf numFmtId="165" fontId="18" fillId="0" borderId="4" xfId="1" applyNumberFormat="1" applyFont="1" applyBorder="1" applyAlignment="1">
      <alignment horizontal="right" vertical="top" wrapText="1"/>
    </xf>
    <xf numFmtId="0" fontId="4" fillId="0" borderId="4" xfId="5" applyNumberFormat="1" applyFont="1" applyBorder="1" applyAlignment="1">
      <alignment horizontal="justify" vertical="top"/>
    </xf>
    <xf numFmtId="0" fontId="4" fillId="0" borderId="4" xfId="5" applyNumberFormat="1" applyFont="1" applyBorder="1" applyAlignment="1">
      <alignment vertical="top"/>
    </xf>
    <xf numFmtId="165" fontId="17" fillId="0" borderId="5" xfId="4" applyNumberFormat="1" applyFont="1" applyBorder="1" applyAlignment="1">
      <alignment horizontal="right" vertical="top" wrapText="1"/>
    </xf>
    <xf numFmtId="165" fontId="19" fillId="0" borderId="5" xfId="1" applyNumberFormat="1" applyFont="1" applyBorder="1" applyAlignment="1">
      <alignment horizontal="center" vertical="top" wrapText="1"/>
    </xf>
    <xf numFmtId="43" fontId="5" fillId="0" borderId="0" xfId="2" applyNumberFormat="1" applyFont="1" applyAlignment="1">
      <alignment vertical="top"/>
    </xf>
    <xf numFmtId="165" fontId="15" fillId="0" borderId="4" xfId="1" applyNumberFormat="1" applyFont="1" applyBorder="1" applyAlignment="1">
      <alignment horizontal="right" vertical="top" wrapText="1"/>
    </xf>
    <xf numFmtId="165" fontId="15" fillId="0" borderId="0" xfId="1" applyNumberFormat="1" applyFont="1" applyBorder="1" applyAlignment="1">
      <alignment horizontal="right" vertical="top" wrapText="1"/>
    </xf>
    <xf numFmtId="0" fontId="5" fillId="0" borderId="4" xfId="5" applyNumberFormat="1" applyFont="1" applyBorder="1" applyAlignment="1">
      <alignment vertical="top" wrapText="1"/>
    </xf>
    <xf numFmtId="9" fontId="17" fillId="0" borderId="4" xfId="3" applyFont="1" applyBorder="1" applyAlignment="1">
      <alignment horizontal="right" vertical="top"/>
    </xf>
    <xf numFmtId="0" fontId="5" fillId="0" borderId="4" xfId="5" quotePrefix="1" applyNumberFormat="1" applyFont="1" applyBorder="1" applyAlignment="1">
      <alignment horizontal="justify" vertical="top" wrapText="1"/>
    </xf>
    <xf numFmtId="0" fontId="18" fillId="0" borderId="4" xfId="5" applyNumberFormat="1" applyFont="1" applyBorder="1" applyAlignment="1">
      <alignment horizontal="justify" vertical="top" wrapText="1"/>
    </xf>
    <xf numFmtId="43" fontId="18" fillId="3" borderId="5" xfId="1" applyFont="1" applyFill="1" applyBorder="1" applyAlignment="1">
      <alignment horizontal="right" vertical="top" wrapText="1"/>
    </xf>
    <xf numFmtId="165" fontId="21" fillId="0" borderId="5" xfId="1" applyNumberFormat="1" applyFont="1" applyBorder="1" applyAlignment="1">
      <alignment horizontal="center" vertical="top" wrapText="1"/>
    </xf>
    <xf numFmtId="165" fontId="21" fillId="0" borderId="0" xfId="1" applyNumberFormat="1" applyFont="1" applyBorder="1" applyAlignment="1">
      <alignment horizontal="center" vertical="top" wrapText="1"/>
    </xf>
    <xf numFmtId="164" fontId="22" fillId="0" borderId="0" xfId="5" applyFont="1" applyAlignment="1">
      <alignment vertical="top"/>
    </xf>
    <xf numFmtId="43" fontId="18" fillId="0" borderId="4" xfId="1" applyFont="1" applyBorder="1" applyAlignment="1">
      <alignment horizontal="right" vertical="top" wrapText="1"/>
    </xf>
    <xf numFmtId="0" fontId="3" fillId="0" borderId="3" xfId="5" applyNumberFormat="1" applyFont="1" applyBorder="1" applyAlignment="1">
      <alignment vertical="top"/>
    </xf>
    <xf numFmtId="0" fontId="3" fillId="0" borderId="3" xfId="5" applyNumberFormat="1" applyFont="1" applyBorder="1" applyAlignment="1">
      <alignment horizontal="center" vertical="top" wrapText="1"/>
    </xf>
    <xf numFmtId="165" fontId="3" fillId="0" borderId="7" xfId="1" applyNumberFormat="1" applyFont="1" applyBorder="1" applyAlignment="1">
      <alignment horizontal="right" vertical="top" wrapText="1"/>
    </xf>
    <xf numFmtId="43" fontId="3" fillId="0" borderId="7" xfId="1" applyFont="1" applyBorder="1" applyAlignment="1">
      <alignment horizontal="right" vertical="top" wrapText="1"/>
    </xf>
    <xf numFmtId="9" fontId="3" fillId="0" borderId="3" xfId="3" applyFont="1" applyBorder="1" applyAlignment="1">
      <alignment horizontal="right" vertical="top" wrapText="1"/>
    </xf>
    <xf numFmtId="165" fontId="3" fillId="0" borderId="3" xfId="1" applyNumberFormat="1" applyFont="1" applyBorder="1" applyAlignment="1">
      <alignment horizontal="center" vertical="top" wrapText="1"/>
    </xf>
    <xf numFmtId="165" fontId="15" fillId="0" borderId="3" xfId="1" applyNumberFormat="1" applyFont="1" applyBorder="1" applyAlignment="1">
      <alignment horizontal="center" vertical="top" wrapText="1"/>
    </xf>
    <xf numFmtId="165" fontId="7" fillId="0" borderId="3" xfId="7" applyNumberFormat="1" applyFont="1" applyFill="1" applyBorder="1" applyAlignment="1">
      <alignment horizontal="right" vertical="top" wrapText="1"/>
    </xf>
    <xf numFmtId="165" fontId="4" fillId="0" borderId="0" xfId="1" applyNumberFormat="1" applyFont="1" applyAlignment="1">
      <alignment vertical="top"/>
    </xf>
    <xf numFmtId="43" fontId="4" fillId="0" borderId="0" xfId="1" applyFont="1" applyAlignment="1">
      <alignment horizontal="right" vertical="top"/>
    </xf>
    <xf numFmtId="165" fontId="4" fillId="0" borderId="0" xfId="1" applyNumberFormat="1" applyFont="1" applyAlignment="1">
      <alignment horizontal="right" vertical="top"/>
    </xf>
    <xf numFmtId="9" fontId="4" fillId="0" borderId="0" xfId="3" applyFont="1" applyAlignment="1">
      <alignment vertical="top"/>
    </xf>
    <xf numFmtId="164" fontId="4" fillId="0" borderId="0" xfId="5" applyFont="1" applyAlignment="1">
      <alignment horizontal="center" vertical="top"/>
    </xf>
    <xf numFmtId="43" fontId="4" fillId="0" borderId="0" xfId="4" applyFont="1" applyAlignment="1">
      <alignment vertical="top"/>
    </xf>
    <xf numFmtId="43" fontId="23" fillId="0" borderId="0" xfId="4" applyFont="1" applyAlignment="1">
      <alignment vertical="top"/>
    </xf>
    <xf numFmtId="43" fontId="13" fillId="0" borderId="0" xfId="4" applyFont="1" applyAlignment="1">
      <alignment vertical="top"/>
    </xf>
    <xf numFmtId="0" fontId="3" fillId="4" borderId="0" xfId="5" applyNumberFormat="1" applyFont="1" applyFill="1" applyAlignment="1">
      <alignment horizontal="left" vertical="top" wrapText="1"/>
    </xf>
    <xf numFmtId="164" fontId="11" fillId="0" borderId="0" xfId="2" applyFont="1" applyAlignment="1">
      <alignment horizontal="center" vertical="top"/>
    </xf>
    <xf numFmtId="0" fontId="11" fillId="0" borderId="0" xfId="4" applyNumberFormat="1" applyFont="1" applyAlignment="1">
      <alignment vertical="top" wrapText="1"/>
    </xf>
    <xf numFmtId="0" fontId="11" fillId="0" borderId="0" xfId="4" applyNumberFormat="1" applyFont="1" applyAlignment="1">
      <alignment vertical="top" wrapText="1"/>
    </xf>
    <xf numFmtId="164" fontId="13" fillId="0" borderId="0" xfId="2" applyFont="1" applyAlignment="1">
      <alignment horizontal="center" vertical="top"/>
    </xf>
    <xf numFmtId="0" fontId="13" fillId="0" borderId="0" xfId="4" applyNumberFormat="1" applyFont="1" applyAlignment="1">
      <alignment vertical="top" wrapText="1"/>
    </xf>
    <xf numFmtId="0" fontId="21" fillId="0" borderId="0" xfId="5" applyNumberFormat="1" applyFont="1" applyAlignment="1">
      <alignment vertical="top"/>
    </xf>
    <xf numFmtId="43" fontId="21" fillId="0" borderId="0" xfId="1" applyFont="1" applyAlignment="1">
      <alignment vertical="top"/>
    </xf>
    <xf numFmtId="165" fontId="21" fillId="0" borderId="0" xfId="1" applyNumberFormat="1" applyFont="1" applyAlignment="1">
      <alignment vertical="top"/>
    </xf>
    <xf numFmtId="9" fontId="21" fillId="0" borderId="0" xfId="3" applyFont="1" applyAlignment="1">
      <alignment vertical="top"/>
    </xf>
    <xf numFmtId="164" fontId="21" fillId="0" borderId="0" xfId="5" applyFont="1" applyAlignment="1">
      <alignment vertical="top"/>
    </xf>
    <xf numFmtId="43" fontId="21" fillId="0" borderId="0" xfId="4" applyFont="1" applyAlignment="1">
      <alignment vertical="top"/>
    </xf>
    <xf numFmtId="43" fontId="24" fillId="0" borderId="0" xfId="4" applyFont="1" applyAlignment="1">
      <alignment vertical="top"/>
    </xf>
    <xf numFmtId="0" fontId="11" fillId="0" borderId="0" xfId="5" applyNumberFormat="1" applyFont="1" applyAlignment="1">
      <alignment vertical="top"/>
    </xf>
    <xf numFmtId="9" fontId="11" fillId="0" borderId="0" xfId="3" applyFont="1" applyAlignment="1">
      <alignment vertical="top"/>
    </xf>
    <xf numFmtId="164" fontId="11" fillId="0" borderId="0" xfId="5" applyFont="1" applyAlignment="1">
      <alignment vertical="top"/>
    </xf>
    <xf numFmtId="0" fontId="25" fillId="0" borderId="0" xfId="2" applyNumberFormat="1" applyFont="1" applyAlignment="1">
      <alignment vertical="top" wrapText="1"/>
    </xf>
    <xf numFmtId="43" fontId="4" fillId="0" borderId="0" xfId="1" applyFont="1" applyAlignment="1">
      <alignment vertical="top"/>
    </xf>
  </cellXfs>
  <cellStyles count="8">
    <cellStyle name="Comma" xfId="1" builtinId="3"/>
    <cellStyle name="Comma 2" xfId="4" xr:uid="{EFD3691F-C9B5-4586-9909-3FC8C4A2B0A6}"/>
    <cellStyle name="Comma 2 2 2 2" xfId="7" xr:uid="{81EE271B-6758-4E7A-A4E2-2DA7C7B74FE7}"/>
    <cellStyle name="Comma 4" xfId="6" xr:uid="{8D3C52F4-166F-4CF3-9746-BDE439FAD788}"/>
    <cellStyle name="Normal" xfId="0" builtinId="0"/>
    <cellStyle name="Normal 2" xfId="5" xr:uid="{47AEB3F0-7831-464E-84A5-C67B53DA64C5}"/>
    <cellStyle name="Normal_SHEET" xfId="2" xr:uid="{59312CB2-307A-4D25-8868-160B565D2347}"/>
    <cellStyle name="Percent 2" xfId="3" xr:uid="{73C6951D-F459-4EE3-9787-873FE6F9BE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X:\OneDrive%20-%20Crowe%20Vietnam%20Co.,%20Ltd\Hailq-AUD%20HAN\2025\01%20Tomoe%2030Sep2025\Tomoe%20-%2030.09.2025\4.%20Final%20WPs\A210.Tomoe.30Sep25.MaiLN.xlsm" TargetMode="External"/><Relationship Id="rId1" Type="http://schemas.openxmlformats.org/officeDocument/2006/relationships/externalLinkPath" Target="file:///X:\OneDrive%20-%20Crowe%20Vietnam%20Co.,%20Ltd\Hailq-AUD%20HAN\2025\01%20Tomoe%2030Sep2025\Tomoe%20-%2030.09.2025\4.%20Final%20WPs\A210.Tomoe.30Sep25.MaiL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DSD"/>
      <sheetName val="Info"/>
      <sheetName val="Opinion"/>
      <sheetName val="Cover&amp;content"/>
      <sheetName val="GD&amp;Aud report"/>
      <sheetName val="FSs"/>
      <sheetName val="NoteI"/>
      <sheetName val="NoteII.1"/>
      <sheetName val="NoteII.3"/>
      <sheetName val="HTK.Loan.Tax.AP.DP"/>
      <sheetName val="Equity"/>
      <sheetName val="NoteII.2"/>
      <sheetName val="BS"/>
      <sheetName val="P&amp;L"/>
      <sheetName val="CF"/>
      <sheetName val="Mapping CCH-VAS acc_final"/>
      <sheetName val="LoA"/>
      <sheetName val="Aud' TB"/>
      <sheetName val="Client'TB"/>
      <sheetName val="Temp"/>
      <sheetName val="FA"/>
      <sheetName val="Selling&amp;GA"/>
      <sheetName val="CBE"/>
      <sheetName val="FCR"/>
      <sheetName val="LS"/>
      <sheetName val="checking"/>
      <sheetName val="Indicator"/>
    </sheetNames>
    <sheetDataSet>
      <sheetData sheetId="0"/>
      <sheetData sheetId="1">
        <row r="1">
          <cell r="F1" t="b">
            <v>0</v>
          </cell>
        </row>
        <row r="25">
          <cell r="D25" t="str">
            <v>31-12-23</v>
          </cell>
        </row>
        <row r="28">
          <cell r="A28" t="str">
            <v>Starting date of PY</v>
          </cell>
          <cell r="B28" t="str">
            <v>pass this cell</v>
          </cell>
          <cell r="C28" t="str">
            <v>Ngày bắt đầu năm tài chính trước</v>
          </cell>
          <cell r="D28" t="str">
            <v>pass this cell</v>
          </cell>
        </row>
        <row r="34">
          <cell r="B34" t="str">
            <v>VND</v>
          </cell>
        </row>
        <row r="41">
          <cell r="D41" t="str">
            <v>Võ Thị Nguyên Linh</v>
          </cell>
        </row>
        <row r="42">
          <cell r="D42" t="str">
            <v>Võ Thị Nguyên Linh</v>
          </cell>
        </row>
        <row r="82">
          <cell r="A82" t="str">
            <v>+ at opening date</v>
          </cell>
          <cell r="B82">
            <v>100</v>
          </cell>
          <cell r="C82" t="str">
            <v>+ Tại ngày đầu năm</v>
          </cell>
          <cell r="D82">
            <v>100</v>
          </cell>
        </row>
        <row r="92">
          <cell r="A92" t="str">
            <v>FSs In Previous Year</v>
          </cell>
          <cell r="B92" t="str">
            <v>Yes</v>
          </cell>
        </row>
        <row r="93">
          <cell r="A93" t="str">
            <v>Auditor previous year</v>
          </cell>
          <cell r="B93" t="str">
            <v>BDO</v>
          </cell>
          <cell r="C93" t="str">
            <v>Kiểm toán viên năm trước</v>
          </cell>
          <cell r="D93" t="str">
            <v>BDO</v>
          </cell>
        </row>
        <row r="94">
          <cell r="A94" t="str">
            <v>Audit opinion</v>
          </cell>
          <cell r="B94" t="str">
            <v>unqualified opinion</v>
          </cell>
          <cell r="C94" t="str">
            <v>Ý kiến kiểm toán</v>
          </cell>
          <cell r="D94" t="str">
            <v>chấp nhận toàn phần</v>
          </cell>
        </row>
        <row r="95">
          <cell r="A95" t="str">
            <v>Ending date of period</v>
          </cell>
          <cell r="B95" t="str">
            <v>31 December 2016</v>
          </cell>
          <cell r="C95" t="str">
            <v>Ngày kết thúc niên độ</v>
          </cell>
          <cell r="D95" t="str">
            <v>31 tháng 12 năm 2016</v>
          </cell>
        </row>
        <row r="96">
          <cell r="A96" t="str">
            <v>Signing date of FS</v>
          </cell>
          <cell r="B96" t="str">
            <v>26 March 2017</v>
          </cell>
          <cell r="C96" t="str">
            <v>Ngày ký báo cáo kế toán</v>
          </cell>
          <cell r="D96" t="str">
            <v>ngày 26 tháng 03 năm 2017</v>
          </cell>
        </row>
      </sheetData>
      <sheetData sheetId="2"/>
      <sheetData sheetId="3">
        <row r="1">
          <cell r="AF1">
            <v>3.14</v>
          </cell>
          <cell r="AG1">
            <v>5</v>
          </cell>
          <cell r="AH1">
            <v>10.57</v>
          </cell>
          <cell r="AI1">
            <v>10.57</v>
          </cell>
          <cell r="AJ1">
            <v>10.57</v>
          </cell>
          <cell r="AK1">
            <v>10.57</v>
          </cell>
          <cell r="AL1">
            <v>10.57</v>
          </cell>
          <cell r="AM1">
            <v>10.57</v>
          </cell>
          <cell r="AN1">
            <v>7</v>
          </cell>
        </row>
        <row r="22">
          <cell r="C22" t="str">
            <v>CROWE VIETNAM MASTER BINDER TEMPLATE V1.1</v>
          </cell>
          <cell r="M22" t="str">
            <v>CROWE VIETNAM MASTER BINDER TEMPLATE V1.1</v>
          </cell>
          <cell r="W22" t="str">
            <v>CROWE VIETNAM MASTER BINDER TEMPLATE V1.1</v>
          </cell>
          <cell r="AG22" t="str">
            <v>CROWE VIETNAM MASTER BINDER TEMPLATE V1.1</v>
          </cell>
        </row>
        <row r="28">
          <cell r="C28" t="str">
            <v>Audited Financial Statements</v>
          </cell>
          <cell r="M28" t="str">
            <v xml:space="preserve">Báo cáo Tài chính đã được kiểm toán </v>
          </cell>
          <cell r="W28" t="str">
            <v>Translated Audited Financial Statements in VND</v>
          </cell>
          <cell r="AG28" t="str">
            <v>Báo cáo Tài chính chuyển đổi sang VND đã được kiểm toán</v>
          </cell>
        </row>
        <row r="29">
          <cell r="C29" t="str">
            <v>for the year ended 31 December 2023</v>
          </cell>
          <cell r="M29" t="str">
            <v>cho năm kết thúc ngày 31 tháng 12 năm 2023</v>
          </cell>
          <cell r="W29" t="str">
            <v>for the year ended 31 December 2023</v>
          </cell>
          <cell r="AG29" t="str">
            <v>cho năm kết thúc ngày 31 tháng 12 năm 2023</v>
          </cell>
        </row>
        <row r="30">
          <cell r="C30" t="str">
            <v xml:space="preserve">Tax code: </v>
          </cell>
          <cell r="M30" t="str">
            <v xml:space="preserve">Mã số thuế: </v>
          </cell>
          <cell r="W30" t="str">
            <v xml:space="preserve">Tax code: </v>
          </cell>
          <cell r="AG30" t="str">
            <v xml:space="preserve">Mã số thuế: </v>
          </cell>
        </row>
        <row r="31">
          <cell r="C31" t="str">
            <v/>
          </cell>
          <cell r="M31" t="str">
            <v/>
          </cell>
          <cell r="W31" t="str">
            <v/>
          </cell>
          <cell r="AG31" t="str">
            <v/>
          </cell>
        </row>
        <row r="40">
          <cell r="B40" t="str">
            <v>CONTENTS</v>
          </cell>
          <cell r="L40" t="str">
            <v>NỘI DUNG</v>
          </cell>
          <cell r="V40" t="str">
            <v>CONTENTS</v>
          </cell>
          <cell r="AF40" t="str">
            <v>NỘI DUNG</v>
          </cell>
        </row>
        <row r="42">
          <cell r="J42" t="str">
            <v>Pages</v>
          </cell>
          <cell r="T42" t="str">
            <v>Trang</v>
          </cell>
          <cell r="AD42" t="str">
            <v>Pages</v>
          </cell>
          <cell r="AN42" t="str">
            <v>Trang</v>
          </cell>
        </row>
        <row r="44">
          <cell r="B44" t="str">
            <v>General information</v>
          </cell>
          <cell r="J44" t="str">
            <v>1</v>
          </cell>
          <cell r="L44" t="str">
            <v>Thông tin chung</v>
          </cell>
          <cell r="T44" t="str">
            <v>1</v>
          </cell>
          <cell r="V44" t="str">
            <v>General information</v>
          </cell>
          <cell r="AD44" t="str">
            <v>1</v>
          </cell>
          <cell r="AF44" t="str">
            <v>Thông tin chung</v>
          </cell>
          <cell r="AN44" t="str">
            <v>1</v>
          </cell>
        </row>
        <row r="45">
          <cell r="B45" t="str">
            <v/>
          </cell>
          <cell r="L45" t="str">
            <v/>
          </cell>
          <cell r="V45" t="str">
            <v/>
          </cell>
          <cell r="AF45" t="str">
            <v/>
          </cell>
        </row>
        <row r="46">
          <cell r="B46" t="str">
            <v>Report of the Board of General Directors</v>
          </cell>
          <cell r="J46">
            <v>2</v>
          </cell>
          <cell r="L46" t="str">
            <v>Báo cáo của Ban Tổng Giám đốc</v>
          </cell>
          <cell r="T46">
            <v>2</v>
          </cell>
          <cell r="V46" t="str">
            <v>Report of the Board of General Directors</v>
          </cell>
          <cell r="AD46">
            <v>2</v>
          </cell>
          <cell r="AF46" t="str">
            <v>Báo cáo của Ban Tổng Giám đốc</v>
          </cell>
          <cell r="AN46">
            <v>2</v>
          </cell>
        </row>
        <row r="47">
          <cell r="B47" t="str">
            <v/>
          </cell>
          <cell r="L47" t="str">
            <v/>
          </cell>
          <cell r="V47" t="str">
            <v/>
          </cell>
          <cell r="AF47" t="str">
            <v/>
          </cell>
        </row>
        <row r="48">
          <cell r="B48" t="str">
            <v>Independent auditor's report</v>
          </cell>
          <cell r="J48" t="str">
            <v>3 - 4</v>
          </cell>
          <cell r="L48" t="str">
            <v>Báo cáo kiểm toán độc lập</v>
          </cell>
          <cell r="T48" t="str">
            <v>3 - 4</v>
          </cell>
          <cell r="V48" t="str">
            <v>Independent auditor's report</v>
          </cell>
          <cell r="AD48" t="str">
            <v>3 - 4</v>
          </cell>
          <cell r="AF48" t="str">
            <v>Báo cáo kiểm toán độc lập</v>
          </cell>
          <cell r="AN48" t="str">
            <v>3 - 4</v>
          </cell>
        </row>
        <row r="50">
          <cell r="B50" t="str">
            <v>Statement of Financial Position</v>
          </cell>
          <cell r="J50" t="str">
            <v>5 - 6</v>
          </cell>
          <cell r="L50" t="str">
            <v>Báo cáo Tình hình Tài chính</v>
          </cell>
          <cell r="T50" t="str">
            <v>5 - 6</v>
          </cell>
          <cell r="V50" t="str">
            <v>Statement of Financial Position</v>
          </cell>
          <cell r="AD50" t="str">
            <v>5 - 6</v>
          </cell>
          <cell r="AF50" t="str">
            <v>Báo cáo Tình hình Tài chính</v>
          </cell>
          <cell r="AN50" t="str">
            <v>5 - 6</v>
          </cell>
        </row>
        <row r="52">
          <cell r="B52" t="str">
            <v>Statement of Income</v>
          </cell>
          <cell r="J52" t="str">
            <v>7</v>
          </cell>
          <cell r="L52" t="str">
            <v>Báo cáo Kết quả Hoạt động</v>
          </cell>
          <cell r="T52" t="str">
            <v>7</v>
          </cell>
          <cell r="V52" t="str">
            <v>Statement of Income</v>
          </cell>
          <cell r="AD52" t="str">
            <v>7</v>
          </cell>
          <cell r="AF52" t="str">
            <v>Báo cáo Kết quả Hoạt động</v>
          </cell>
          <cell r="AN52" t="str">
            <v>7</v>
          </cell>
        </row>
        <row r="54">
          <cell r="B54" t="str">
            <v>Statement of Cash Flows</v>
          </cell>
          <cell r="J54" t="str">
            <v>8 - 9</v>
          </cell>
          <cell r="L54" t="str">
            <v>Báo cáo Lưu chuyển Tiền tệ</v>
          </cell>
          <cell r="T54" t="str">
            <v>8 - 9</v>
          </cell>
          <cell r="V54" t="str">
            <v>Statement of Cash Flows</v>
          </cell>
          <cell r="AD54" t="str">
            <v>8 - 9</v>
          </cell>
          <cell r="AF54" t="str">
            <v>Báo cáo Lưu chuyển Tiền tệ</v>
          </cell>
          <cell r="AN54" t="str">
            <v>8 - 9</v>
          </cell>
        </row>
        <row r="56">
          <cell r="B56" t="str">
            <v>Notes to the Financial Statements</v>
          </cell>
          <cell r="J56" t="str">
            <v>10 - 40</v>
          </cell>
          <cell r="L56" t="str">
            <v>Thuyết minh Báo cáo Tài chính</v>
          </cell>
          <cell r="T56" t="str">
            <v>10 - 40</v>
          </cell>
          <cell r="V56" t="str">
            <v>Notes to the Financial Statements</v>
          </cell>
          <cell r="AD56" t="str">
            <v>10 - 40</v>
          </cell>
          <cell r="AF56" t="str">
            <v>Thuyết minh Báo cáo Tài chính</v>
          </cell>
          <cell r="AN56" t="str">
            <v>10 - 40</v>
          </cell>
        </row>
        <row r="63">
          <cell r="B63" t="str">
            <v>Abbreviation and notation</v>
          </cell>
          <cell r="L63" t="str">
            <v>Các chữ viết tắt và ký hiệu thường dùng</v>
          </cell>
          <cell r="V63" t="str">
            <v>Abbreviation and notation</v>
          </cell>
          <cell r="AF63" t="str">
            <v>Các chữ viết tắt và ký hiệu thường dùng</v>
          </cell>
        </row>
        <row r="65">
          <cell r="B65" t="str">
            <v>Bal’</v>
          </cell>
          <cell r="F65" t="str">
            <v>Balance</v>
          </cell>
          <cell r="L65" t="str">
            <v>CSH</v>
          </cell>
          <cell r="P65" t="str">
            <v>Chủ sở hữu</v>
          </cell>
          <cell r="V65" t="str">
            <v>Bal’</v>
          </cell>
          <cell r="Z65" t="str">
            <v>Balance</v>
          </cell>
          <cell r="AF65" t="str">
            <v>CSH</v>
          </cell>
          <cell r="AJ65" t="str">
            <v>Chủ sở hữu</v>
          </cell>
        </row>
        <row r="66">
          <cell r="B66" t="str">
            <v>CIP</v>
          </cell>
          <cell r="F66" t="str">
            <v>Construction in progress</v>
          </cell>
          <cell r="L66" t="str">
            <v xml:space="preserve">CN </v>
          </cell>
          <cell r="P66" t="str">
            <v>Chứng nhận</v>
          </cell>
          <cell r="V66" t="str">
            <v>CIP</v>
          </cell>
          <cell r="Z66" t="str">
            <v>Construction in progress</v>
          </cell>
          <cell r="AF66" t="str">
            <v xml:space="preserve">CN </v>
          </cell>
          <cell r="AJ66" t="str">
            <v>Chứng nhận</v>
          </cell>
        </row>
        <row r="67">
          <cell r="B67" t="str">
            <v>CIT</v>
          </cell>
          <cell r="F67" t="str">
            <v>Corporate Income Tax</v>
          </cell>
          <cell r="L67" t="str">
            <v>ĐKHN</v>
          </cell>
          <cell r="P67" t="str">
            <v>Đăng ký hành nghề</v>
          </cell>
          <cell r="V67" t="str">
            <v>CIT</v>
          </cell>
          <cell r="Z67" t="str">
            <v>Corporate Income Tax</v>
          </cell>
          <cell r="AF67" t="str">
            <v>ĐKHN</v>
          </cell>
          <cell r="AJ67" t="str">
            <v>Đăng ký hành nghề</v>
          </cell>
        </row>
        <row r="68">
          <cell r="B68" t="str">
            <v>FX</v>
          </cell>
          <cell r="F68" t="str">
            <v>Foreign exchange</v>
          </cell>
          <cell r="L68" t="str">
            <v>ĐKKD</v>
          </cell>
          <cell r="P68" t="str">
            <v>Đăng ký kinh doanh</v>
          </cell>
          <cell r="V68" t="str">
            <v>FX</v>
          </cell>
          <cell r="Z68" t="str">
            <v>Foreign exchange</v>
          </cell>
          <cell r="AF68" t="str">
            <v>ĐKKD</v>
          </cell>
          <cell r="AJ68" t="str">
            <v>Đăng ký kinh doanh</v>
          </cell>
        </row>
        <row r="69">
          <cell r="B69" t="str">
            <v>JPY</v>
          </cell>
          <cell r="F69" t="str">
            <v>Japanese Yen</v>
          </cell>
          <cell r="L69" t="str">
            <v>GTGT</v>
          </cell>
          <cell r="P69" t="str">
            <v>Giá trị gia tăng</v>
          </cell>
          <cell r="V69" t="str">
            <v>JPY</v>
          </cell>
          <cell r="Z69" t="str">
            <v>Japanese Yen</v>
          </cell>
          <cell r="AF69" t="str">
            <v>GTGT</v>
          </cell>
          <cell r="AJ69" t="str">
            <v>Giá trị gia tăng</v>
          </cell>
        </row>
        <row r="70">
          <cell r="B70" t="str">
            <v>p.a.</v>
          </cell>
          <cell r="F70" t="str">
            <v>per annum</v>
          </cell>
          <cell r="L70" t="str">
            <v>JPY</v>
          </cell>
          <cell r="P70" t="str">
            <v>Yên Nhật</v>
          </cell>
          <cell r="V70" t="str">
            <v>p.a.</v>
          </cell>
          <cell r="Z70" t="str">
            <v>per annum</v>
          </cell>
          <cell r="AF70" t="str">
            <v>JPY</v>
          </cell>
          <cell r="AJ70" t="str">
            <v>Yên Nhật</v>
          </cell>
        </row>
        <row r="71">
          <cell r="B71" t="str">
            <v>USD</v>
          </cell>
          <cell r="F71" t="str">
            <v>United States Dollar</v>
          </cell>
          <cell r="L71" t="str">
            <v>TS</v>
          </cell>
          <cell r="P71" t="str">
            <v>Tài sản</v>
          </cell>
          <cell r="V71" t="str">
            <v>USD</v>
          </cell>
          <cell r="Z71" t="str">
            <v>United States Dollar</v>
          </cell>
          <cell r="AF71" t="str">
            <v>TS</v>
          </cell>
          <cell r="AJ71" t="str">
            <v>Tài sản</v>
          </cell>
        </row>
        <row r="72">
          <cell r="B72" t="str">
            <v>VAT</v>
          </cell>
          <cell r="F72" t="str">
            <v>Value added tax</v>
          </cell>
          <cell r="L72" t="str">
            <v>TSCĐ</v>
          </cell>
          <cell r="P72" t="str">
            <v>Tài sản cố định</v>
          </cell>
          <cell r="V72" t="str">
            <v>VAT</v>
          </cell>
          <cell r="Z72" t="str">
            <v>Value added tax</v>
          </cell>
          <cell r="AF72" t="str">
            <v>TSCĐ</v>
          </cell>
          <cell r="AJ72" t="str">
            <v>Tài sản cố định</v>
          </cell>
        </row>
        <row r="73">
          <cell r="B73" t="str">
            <v>VND</v>
          </cell>
          <cell r="F73" t="str">
            <v>Vietnamese Dong</v>
          </cell>
          <cell r="L73" t="str">
            <v>TM</v>
          </cell>
          <cell r="P73" t="str">
            <v>Thuyết minh</v>
          </cell>
          <cell r="V73" t="str">
            <v>VND</v>
          </cell>
          <cell r="Z73" t="str">
            <v>Vietnamese Dong</v>
          </cell>
          <cell r="AF73" t="str">
            <v>TM</v>
          </cell>
          <cell r="AJ73" t="str">
            <v>Thuyết minh</v>
          </cell>
        </row>
        <row r="74">
          <cell r="L74" t="str">
            <v>TNDN</v>
          </cell>
          <cell r="P74" t="str">
            <v>Thu nhập doanh nghiệp</v>
          </cell>
          <cell r="V74" t="str">
            <v/>
          </cell>
          <cell r="Z74" t="str">
            <v/>
          </cell>
          <cell r="AF74" t="str">
            <v>TNDN</v>
          </cell>
          <cell r="AJ74" t="str">
            <v>Thu nhập doanh nghiệp</v>
          </cell>
        </row>
        <row r="75">
          <cell r="L75" t="str">
            <v>USD</v>
          </cell>
          <cell r="P75" t="str">
            <v>Đô la Mỹ</v>
          </cell>
          <cell r="V75" t="str">
            <v/>
          </cell>
          <cell r="Z75" t="str">
            <v/>
          </cell>
          <cell r="AF75" t="str">
            <v>USD</v>
          </cell>
          <cell r="AJ75" t="str">
            <v>Đô la Mỹ</v>
          </cell>
        </row>
        <row r="76">
          <cell r="L76" t="str">
            <v>VND</v>
          </cell>
          <cell r="P76" t="str">
            <v>Đồng Việt Nam</v>
          </cell>
          <cell r="V76" t="str">
            <v/>
          </cell>
          <cell r="Z76" t="str">
            <v/>
          </cell>
          <cell r="AF76" t="str">
            <v>VND</v>
          </cell>
          <cell r="AJ76" t="str">
            <v>Đồng Việt Nam</v>
          </cell>
        </row>
        <row r="77">
          <cell r="L77" t="str">
            <v>XDCB</v>
          </cell>
          <cell r="P77" t="str">
            <v>Xây dựng cơ bản</v>
          </cell>
          <cell r="V77" t="str">
            <v/>
          </cell>
          <cell r="Z77" t="str">
            <v/>
          </cell>
          <cell r="AF77" t="str">
            <v>XDCB</v>
          </cell>
          <cell r="AJ77" t="str">
            <v>Xây dựng cơ bản</v>
          </cell>
        </row>
        <row r="78">
          <cell r="L78" t="str">
            <v>BĐSĐT</v>
          </cell>
          <cell r="P78" t="str">
            <v>Bất động sản đầu tư</v>
          </cell>
          <cell r="V78" t="str">
            <v/>
          </cell>
          <cell r="Z78" t="str">
            <v/>
          </cell>
          <cell r="AF78" t="str">
            <v>BĐSĐT</v>
          </cell>
          <cell r="AJ78" t="str">
            <v>Bất động sản đầu tư</v>
          </cell>
        </row>
      </sheetData>
      <sheetData sheetId="4">
        <row r="3">
          <cell r="B3" t="str">
            <v>Crowe Vietnam Master Binder Template v1.1</v>
          </cell>
          <cell r="M3" t="str">
            <v>Crowe Vietnam Master Binder Template v1.1</v>
          </cell>
          <cell r="Y3" t="str">
            <v>Crowe Vietnam Master Binder Template v1.1</v>
          </cell>
          <cell r="AJ3" t="str">
            <v>Crowe Vietnam Master Binder Template v1.1</v>
          </cell>
        </row>
        <row r="4">
          <cell r="H4" t="str">
            <v/>
          </cell>
        </row>
        <row r="5">
          <cell r="B5" t="str">
            <v>GENERAL INFORMATION</v>
          </cell>
          <cell r="M5" t="str">
            <v>THÔNG TIN CHUNG</v>
          </cell>
          <cell r="Y5" t="str">
            <v>GENERAL INFORMATION</v>
          </cell>
          <cell r="AJ5" t="str">
            <v>THÔNG TIN CHUNG</v>
          </cell>
        </row>
        <row r="7">
          <cell r="B7" t="str">
            <v>Investment License and Investment Certificate</v>
          </cell>
          <cell r="F7" t="str">
            <v>Investment License No. 1243435535 dated 25 December 2004 issued by Ministry of Planning &amp; Investment and subsequently replaced by Investment Certificate No. 0 dated 24 June 2014 issued by the Board of Management of Vietnam - Singapore Industrial Park.</v>
          </cell>
          <cell r="M7" t="str">
            <v>Giấy Phép Đầu tư và Giấy Chứng nhận Đầu tư</v>
          </cell>
          <cell r="Q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cell r="Y7" t="str">
            <v>Investment License and Investment Certificate</v>
          </cell>
          <cell r="AC7" t="str">
            <v>Investment License No. 1243435535 dated 25 December 2004 issued by Ministry of Planning &amp; Investment and subsequently replaced by Investment Certificate No. 0 dated 24 June 2014 issued by the Board of Management of Vietnam - Singapore Industrial Park.</v>
          </cell>
          <cell r="AJ7" t="str">
            <v>Giấy Phép Đầu tư và Giấy Chứng nhận Đầu tư</v>
          </cell>
          <cell r="AN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row>
        <row r="13">
          <cell r="F13" t="str">
            <v>Investment Certificate of Crowe Vietnam Master Binder Template v1.1 has been amended several times and the most recent of which is on 25 June 2004 issued by Board of Management of Ha Noi Export Processing and Industrial Zones.</v>
          </cell>
          <cell r="Q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cell r="AC13" t="str">
            <v>Investment Certificate of Crowe Vietnam Master Binder Template v1.1 has been amended several times and the most recent of which is on 25 June 2004 issued by Board of Management of Ha Noi Export Processing and Industrial Zones.</v>
          </cell>
          <cell r="AN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row>
        <row r="16">
          <cell r="AC16">
            <v>0</v>
          </cell>
          <cell r="AN16">
            <v>0</v>
          </cell>
        </row>
        <row r="18">
          <cell r="F18" t="str">
            <v>The Amended Investment Certificate is valid for 50 years from 25 December 2004.</v>
          </cell>
          <cell r="Q18" t="str">
            <v>Giấy Chứng nhận Đăng ký Đầu tư Điều chỉnh có giá trị trong vòng 50 năm kể từ ngày 25 tháng 12 năm 2004.</v>
          </cell>
          <cell r="AC18" t="str">
            <v>The Amended Investment Certificate is valid for 50 years from 25 December 2004.</v>
          </cell>
          <cell r="AN18" t="str">
            <v>Giấy Chứng nhận Đăng ký Đầu tư Điều chỉnh có giá trị trong vòng 50 năm kể từ ngày 25 tháng 12 năm 2004.</v>
          </cell>
        </row>
        <row r="21">
          <cell r="F21" t="str">
            <v>The Initial and Amended Investment Certificate have been subsequently replaced by followings Investment Registration Certificate and Enterprise Registration Certificate:</v>
          </cell>
          <cell r="Q21" t="str">
            <v>Giấy Chứng nhận Đầu tư đầu tiên và điều chỉnh đã được thay thế bởi Giấy Chứng nhận Đăng ký Đầu tư và Giấy Chứng nhận Đăng ký Doanh nghiệp như sau:</v>
          </cell>
          <cell r="AC21" t="str">
            <v>The Initial and Amended Investment Certificate have been subsequently replaced by followings Investment Registration Certificate and Enterprise Registration Certificate:</v>
          </cell>
          <cell r="AN21" t="str">
            <v>Giấy Chứng nhận Đầu tư đầu tiên và điều chỉnh đã được thay thế bởi Giấy Chứng nhận Đăng ký Đầu tư và Giấy Chứng nhận Đăng ký Doanh nghiệp như sau:</v>
          </cell>
        </row>
        <row r="25">
          <cell r="B25" t="str">
            <v>Investment Registration Certificate</v>
          </cell>
          <cell r="F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M25" t="str">
            <v>Giấy Chứng nhận Đăng ký Đầu tư</v>
          </cell>
          <cell r="Q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cell r="Y25" t="str">
            <v>Investment Registration Certificate</v>
          </cell>
          <cell r="AC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AJ25" t="str">
            <v>Giấy Chứng nhận Đăng ký Đầu tư</v>
          </cell>
          <cell r="AN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row>
        <row r="31">
          <cell r="B31" t="str">
            <v>Enterprise Registration Certificate</v>
          </cell>
          <cell r="F31" t="str">
            <v>Enterprise code: , was issued on 07 December 2010 by the Department of Planning and Investment of Binh Duong Province and the latest version is on 20 July 2016.</v>
          </cell>
          <cell r="M31" t="str">
            <v>Giấy Chứng nhận Đăng ký Doanh nghiệp</v>
          </cell>
          <cell r="Q31" t="str">
            <v>Mã số Doanh nghiệp:  được cấp ngày 07 tháng 12 năm 2010 bởi Sở Kế hoạch và Đầu tư tỉnh Bình Dương và đã được đăng ký thay đổi gần đây nhất vào ngày 20 tháng 07 năm 2016.</v>
          </cell>
          <cell r="Y31" t="str">
            <v>Enterprise Registration Certificate</v>
          </cell>
          <cell r="AC31" t="str">
            <v>Enterprise code: , was issued on 07 December 2010 by the Department of Planning and Investment of Binh Duong Province and the latest version is on 20 July 2016.</v>
          </cell>
          <cell r="AJ31" t="str">
            <v>Giấy Chứng nhận Đăng ký Doanh nghiệp</v>
          </cell>
          <cell r="AN31" t="str">
            <v>Mã số Doanh nghiệp:  được cấp ngày 07 tháng 12 năm 2010 bởi Sở Kế hoạch và Đầu tư tỉnh Bình Dương và đã được đăng ký thay đổi gần đây nhất vào ngày 20 tháng 07 năm 2016.</v>
          </cell>
        </row>
        <row r="35">
          <cell r="B35" t="str">
            <v>Business License</v>
          </cell>
          <cell r="F35" t="str">
            <v>No. 4387073377-KD, was issued on 29 November 2015 by the Board of Management of Vietnam - Singapore Industrial Park and the latest version is on 31 December 2016.</v>
          </cell>
          <cell r="M35" t="str">
            <v>Giấy phép Kinh doanh</v>
          </cell>
          <cell r="Q35" t="str">
            <v>Số 4387073377-KD, được cấp ngày 29 tháng 11 năm 2015 bởi Ban Quản lý Khu Công nghiệp Việt Nam - Singapore và đã được đăng ký thay đổi gần đây nhất vào ngày 31 tháng 12 năm 2016.</v>
          </cell>
          <cell r="Y35" t="str">
            <v>Business License</v>
          </cell>
          <cell r="AC35" t="str">
            <v>No. 4387073377-KD, was issued on 29 November 2015 by the Board of Management of Vietnam - Singapore Industrial Park and the latest version is on 31 December 2016.</v>
          </cell>
          <cell r="AJ35" t="str">
            <v>Giấy phép Kinh doanh</v>
          </cell>
          <cell r="AN35" t="str">
            <v>Số 4387073377-KD, được cấp ngày 29 tháng 11 năm 2015 bởi Ban Quản lý Khu Công nghiệp Việt Nam - Singapore và đã được đăng ký thay đổi gần đây nhất vào ngày 31 tháng 12 năm 2016.</v>
          </cell>
        </row>
        <row r="39">
          <cell r="B39" t="str">
            <v>Members' Council</v>
          </cell>
          <cell r="F39" t="str">
            <v>Mr./Ms. xxy/abc</v>
          </cell>
          <cell r="H39" t="str">
            <v>Chairman</v>
          </cell>
          <cell r="M39" t="str">
            <v>Hội đồng thành viên</v>
          </cell>
          <cell r="Q39" t="str">
            <v>Ông Ms. xxy/abc</v>
          </cell>
          <cell r="S39" t="str">
            <v>Chủ tịch</v>
          </cell>
          <cell r="Y39" t="str">
            <v>Members' Council</v>
          </cell>
          <cell r="AC39" t="str">
            <v>Mr./Ms. xxy/abc</v>
          </cell>
          <cell r="AE39" t="str">
            <v>Chairman</v>
          </cell>
          <cell r="AJ39" t="str">
            <v>Hội đồng thành viên</v>
          </cell>
          <cell r="AK39" t="str">
            <v/>
          </cell>
          <cell r="AL39" t="str">
            <v/>
          </cell>
          <cell r="AN39" t="str">
            <v>Ông Ms. xxy/abc</v>
          </cell>
          <cell r="AP39" t="str">
            <v>Chủ tịch</v>
          </cell>
        </row>
        <row r="40">
          <cell r="H40" t="str">
            <v>(from dd mm yyyy)</v>
          </cell>
          <cell r="S40" t="str">
            <v>(từ ngày dd tháng mm năm yyyy)</v>
          </cell>
          <cell r="AC40" t="str">
            <v/>
          </cell>
          <cell r="AE40" t="str">
            <v>(from dd mm yyyy)</v>
          </cell>
          <cell r="AN40" t="str">
            <v/>
          </cell>
          <cell r="AP40" t="str">
            <v>(từ ngày dd tháng mm năm yyyy)</v>
          </cell>
        </row>
        <row r="41">
          <cell r="F41" t="str">
            <v>Mr./Ms. xxy/abc</v>
          </cell>
          <cell r="H41" t="str">
            <v>Member</v>
          </cell>
          <cell r="Q41" t="str">
            <v>Ông Ms. xxy/abc</v>
          </cell>
          <cell r="S41" t="str">
            <v>Thành viên</v>
          </cell>
          <cell r="AC41" t="str">
            <v>Mr./Ms. xxy/abc</v>
          </cell>
          <cell r="AE41" t="str">
            <v>Member</v>
          </cell>
          <cell r="AN41" t="str">
            <v>Ông Ms. xxy/abc</v>
          </cell>
          <cell r="AP41" t="str">
            <v>Thành viên</v>
          </cell>
        </row>
        <row r="42">
          <cell r="H42" t="str">
            <v>(from dd mm yyyy)</v>
          </cell>
          <cell r="S42" t="str">
            <v>(từ ngày dd tháng mm năm yyyy)</v>
          </cell>
          <cell r="AC42" t="str">
            <v/>
          </cell>
          <cell r="AE42" t="str">
            <v>(from dd mm yyyy)</v>
          </cell>
          <cell r="AN42" t="str">
            <v/>
          </cell>
          <cell r="AP42" t="str">
            <v>(từ ngày dd tháng mm năm yyyy)</v>
          </cell>
        </row>
        <row r="44">
          <cell r="B44" t="str">
            <v>Supervisory Panel</v>
          </cell>
          <cell r="F44" t="str">
            <v>Mr./Ms. xxy/abc</v>
          </cell>
          <cell r="H44" t="str">
            <v>Head of Supervisory Panel</v>
          </cell>
          <cell r="M44" t="str">
            <v>Ban Kiểm soát</v>
          </cell>
          <cell r="Q44" t="str">
            <v>Ông Ms. xxy/abc</v>
          </cell>
          <cell r="S44" t="str">
            <v>Trưởng Ban Kiểm soát</v>
          </cell>
          <cell r="Y44" t="str">
            <v>Supervisory Panel</v>
          </cell>
          <cell r="AC44" t="str">
            <v>Mr./Ms. xxy/abc</v>
          </cell>
          <cell r="AE44" t="str">
            <v>Head of Supervisory Panel</v>
          </cell>
          <cell r="AJ44" t="str">
            <v>Ban Kiểm soát</v>
          </cell>
          <cell r="AN44" t="str">
            <v>Ông Ms. xxy/abc</v>
          </cell>
          <cell r="AP44" t="str">
            <v>Trưởng Ban Kiểm soát</v>
          </cell>
        </row>
        <row r="45">
          <cell r="H45" t="str">
            <v>(from dd mm yyyy)</v>
          </cell>
          <cell r="S45" t="str">
            <v>(từ ngày dd tháng mm năm yyyy)</v>
          </cell>
          <cell r="AC45" t="str">
            <v/>
          </cell>
          <cell r="AE45" t="str">
            <v>(from dd mm yyyy)</v>
          </cell>
          <cell r="AN45" t="str">
            <v/>
          </cell>
          <cell r="AP45" t="str">
            <v>(từ ngày dd tháng mm năm yyyy)</v>
          </cell>
        </row>
        <row r="46">
          <cell r="F46" t="str">
            <v>Mr./Ms. xxy/abc</v>
          </cell>
          <cell r="H46" t="str">
            <v>Member</v>
          </cell>
          <cell r="Q46" t="str">
            <v>Ông Ms. xxy/abc</v>
          </cell>
          <cell r="S46" t="str">
            <v>Thành viên</v>
          </cell>
          <cell r="AC46" t="str">
            <v>Mr./Ms. xxy/abc</v>
          </cell>
          <cell r="AE46" t="str">
            <v>Member</v>
          </cell>
          <cell r="AN46" t="str">
            <v>Ông Ms. xxy/abc</v>
          </cell>
          <cell r="AP46" t="str">
            <v>Thành viên</v>
          </cell>
        </row>
        <row r="48">
          <cell r="B48" t="str">
            <v>Board of General Directors</v>
          </cell>
          <cell r="F48" t="str">
            <v>Mr./Ms. xxy/abc</v>
          </cell>
          <cell r="H48" t="str">
            <v>General Director</v>
          </cell>
          <cell r="M48" t="str">
            <v>Ban Tổng Giám đốc</v>
          </cell>
          <cell r="Q48" t="str">
            <v>Ông Ms. xxy/abc</v>
          </cell>
          <cell r="S48" t="str">
            <v>Tổng Giám đốc</v>
          </cell>
          <cell r="Y48" t="str">
            <v>Board of General Directors</v>
          </cell>
          <cell r="AC48" t="str">
            <v>Mr./Ms. xxy/abc</v>
          </cell>
          <cell r="AE48" t="str">
            <v>General Director</v>
          </cell>
          <cell r="AJ48" t="str">
            <v>Ban Tổng Giám đốc</v>
          </cell>
          <cell r="AN48" t="str">
            <v>Ông Ms. xxy/abc</v>
          </cell>
          <cell r="AP48" t="str">
            <v>Tổng Giám đốc</v>
          </cell>
        </row>
        <row r="49">
          <cell r="H49" t="str">
            <v>(from dd mm yyyy)</v>
          </cell>
          <cell r="S49" t="str">
            <v>(từ ngày xx tháng yy năm 20zz)</v>
          </cell>
          <cell r="AC49" t="str">
            <v/>
          </cell>
          <cell r="AE49" t="str">
            <v>(from dd mm yyyy)</v>
          </cell>
          <cell r="AN49" t="str">
            <v/>
          </cell>
          <cell r="AP49" t="str">
            <v>(từ ngày xx tháng yy năm 20zz)</v>
          </cell>
        </row>
        <row r="50">
          <cell r="F50" t="str">
            <v>Mr./Ms. xxy/abc</v>
          </cell>
          <cell r="H50" t="str">
            <v>General Director</v>
          </cell>
          <cell r="Q50" t="str">
            <v>Ông Ms. xxy/abc</v>
          </cell>
          <cell r="S50" t="str">
            <v>Tổng Giám đốc</v>
          </cell>
          <cell r="AC50" t="str">
            <v>Mr./Ms. xxy/abc</v>
          </cell>
          <cell r="AE50" t="str">
            <v>General Director</v>
          </cell>
          <cell r="AN50" t="str">
            <v>Ông Ms. xxy/abc</v>
          </cell>
          <cell r="AP50" t="str">
            <v>Tổng Giám đốc</v>
          </cell>
        </row>
        <row r="51">
          <cell r="H51" t="str">
            <v>(until dd mm yyyy)</v>
          </cell>
          <cell r="S51" t="str">
            <v>(đến ngày xx tháng yy năm 20zz)</v>
          </cell>
          <cell r="AC51" t="str">
            <v/>
          </cell>
          <cell r="AE51" t="str">
            <v>(until dd mm yyyy)</v>
          </cell>
          <cell r="AN51" t="str">
            <v/>
          </cell>
          <cell r="AP51" t="str">
            <v>(đến ngày xx tháng yy năm 20zz)</v>
          </cell>
        </row>
        <row r="52">
          <cell r="F52" t="str">
            <v>Mr./Ms. xxy/abc</v>
          </cell>
          <cell r="H52" t="str">
            <v>Deputy General Director</v>
          </cell>
          <cell r="Q52" t="str">
            <v>Ông Ms. xxy/abc</v>
          </cell>
          <cell r="S52" t="str">
            <v>Phó Tổng Giám đốc</v>
          </cell>
          <cell r="AC52" t="str">
            <v>Mr./Ms. xxy/abc</v>
          </cell>
          <cell r="AE52" t="str">
            <v>Deputy General Director</v>
          </cell>
          <cell r="AN52" t="str">
            <v>Ông Ms. xxy/abc</v>
          </cell>
          <cell r="AP52" t="str">
            <v>Phó Tổng Giám đốc</v>
          </cell>
        </row>
        <row r="54">
          <cell r="B54" t="str">
            <v>Legal Representative</v>
          </cell>
          <cell r="F54" t="str">
            <v>Mr./Ms. xxy/abc</v>
          </cell>
          <cell r="H54" t="str">
            <v>General Director</v>
          </cell>
          <cell r="M54" t="str">
            <v>Người Đại diện theo
Pháp luật</v>
          </cell>
          <cell r="Q54" t="str">
            <v>Ông Ms. xxy/abc</v>
          </cell>
          <cell r="S54" t="str">
            <v>Tổng Giám đốc</v>
          </cell>
          <cell r="Y54" t="str">
            <v>Legal Representative</v>
          </cell>
          <cell r="Z54" t="str">
            <v/>
          </cell>
          <cell r="AA54" t="str">
            <v/>
          </cell>
          <cell r="AC54" t="str">
            <v>Mr./Ms. xxy/abc</v>
          </cell>
          <cell r="AE54" t="str">
            <v>General Director</v>
          </cell>
          <cell r="AJ54" t="str">
            <v>Người Đại diện theo
Pháp luật</v>
          </cell>
          <cell r="AK54" t="str">
            <v/>
          </cell>
          <cell r="AL54" t="str">
            <v/>
          </cell>
          <cell r="AN54" t="str">
            <v>Ông Ms. xxy/abc</v>
          </cell>
          <cell r="AP54" t="str">
            <v>Tổng Giám đốc</v>
          </cell>
        </row>
        <row r="55">
          <cell r="Y55" t="str">
            <v/>
          </cell>
          <cell r="Z55" t="str">
            <v/>
          </cell>
          <cell r="AA55" t="str">
            <v/>
          </cell>
          <cell r="AC55" t="str">
            <v/>
          </cell>
          <cell r="AE55" t="str">
            <v/>
          </cell>
          <cell r="AJ55" t="str">
            <v/>
          </cell>
          <cell r="AK55" t="str">
            <v/>
          </cell>
          <cell r="AL55" t="str">
            <v/>
          </cell>
          <cell r="AN55" t="str">
            <v/>
          </cell>
          <cell r="AP55" t="str">
            <v/>
          </cell>
        </row>
        <row r="56">
          <cell r="H56" t="str">
            <v>(from dd mm yyyy)</v>
          </cell>
          <cell r="S56" t="str">
            <v>(từ ngày xx tháng yy năm 20zz)</v>
          </cell>
          <cell r="AC56" t="str">
            <v/>
          </cell>
          <cell r="AE56" t="str">
            <v>(from dd mm yyyy)</v>
          </cell>
          <cell r="AN56" t="str">
            <v/>
          </cell>
          <cell r="AP56" t="str">
            <v>(từ ngày xx tháng yy năm 20zz)</v>
          </cell>
        </row>
        <row r="57">
          <cell r="F57" t="str">
            <v>Mr./Ms. xxy/abc</v>
          </cell>
          <cell r="H57" t="str">
            <v>Deputy General Director</v>
          </cell>
          <cell r="Q57" t="str">
            <v>Ông Ms. xxy/abc</v>
          </cell>
          <cell r="S57" t="str">
            <v>Tổng Giám đốc</v>
          </cell>
          <cell r="AC57" t="str">
            <v>Mr./Ms. xxy/abc</v>
          </cell>
          <cell r="AE57" t="str">
            <v>Deputy General Director</v>
          </cell>
          <cell r="AN57" t="str">
            <v>Ông Ms. xxy/abc</v>
          </cell>
          <cell r="AP57" t="str">
            <v>Tổng Giám đốc</v>
          </cell>
        </row>
        <row r="58">
          <cell r="H58" t="str">
            <v>(until dd mm yyyy)</v>
          </cell>
          <cell r="S58" t="str">
            <v>(đến ngày xx tháng yy năm 20zz)</v>
          </cell>
          <cell r="AC58" t="str">
            <v/>
          </cell>
          <cell r="AE58" t="str">
            <v>(until dd mm yyyy)</v>
          </cell>
          <cell r="AN58" t="str">
            <v/>
          </cell>
          <cell r="AP58" t="str">
            <v>(đến ngày xx tháng yy năm 20zz)</v>
          </cell>
        </row>
        <row r="60">
          <cell r="F60" t="str">
            <v>Mr./Ms. xxy/abc is appointed to approve and sign on the Financial Statements for the year ended 31 December 2023.</v>
          </cell>
          <cell r="Q60" t="str">
            <v>Ông Ms. xxy/abc có trách nhiệm phê duyệt và ký Báo cáo Tài chính của Công ty cho năm kết thúc ngày 31 tháng 12 năm 2023.</v>
          </cell>
          <cell r="AC60" t="str">
            <v>Mr./Ms. xxy/abc is appointed to approve and sign on the Financial Statements for the year ended 31 December 2023.</v>
          </cell>
          <cell r="AN60" t="str">
            <v>Ông Ms. xxy/abc có trách nhiệm phê duyệt và ký Báo cáo Tài chính của Công ty cho năm kết thúc ngày 31 tháng 12 năm 2023.</v>
          </cell>
        </row>
        <row r="63">
          <cell r="B63" t="str">
            <v>Head office location</v>
          </cell>
          <cell r="F63" t="str">
            <v>At .</v>
          </cell>
          <cell r="M63" t="str">
            <v>Trụ sở chính</v>
          </cell>
          <cell r="Q63" t="str">
            <v>Tại Lô 109/1, Đường Amata, Khu Công nghiệp Long Bình (Amata), Phường Long Bình, Thành phố Biên Hòa, Tỉnh Đồng Nai, Việt Nam.</v>
          </cell>
          <cell r="Y63" t="str">
            <v>Head office location</v>
          </cell>
          <cell r="AC63" t="str">
            <v>At .</v>
          </cell>
          <cell r="AD63" t="str">
            <v/>
          </cell>
          <cell r="AE63" t="str">
            <v/>
          </cell>
          <cell r="AF63" t="str">
            <v/>
          </cell>
          <cell r="AG63" t="str">
            <v/>
          </cell>
          <cell r="AJ63" t="str">
            <v>Trụ sở chính</v>
          </cell>
          <cell r="AN63" t="str">
            <v>Tại Lô 109/1, Đường Amata, Khu Công nghiệp Long Bình (Amata), Phường Long Bình, Thành phố Biên Hòa, Tỉnh Đồng Nai, Việt Nam.</v>
          </cell>
          <cell r="AO63" t="str">
            <v/>
          </cell>
          <cell r="AP63" t="str">
            <v/>
          </cell>
          <cell r="AQ63" t="str">
            <v/>
          </cell>
          <cell r="AR63" t="str">
            <v/>
          </cell>
        </row>
        <row r="66">
          <cell r="B66" t="str">
            <v>(1 chi nhánh)</v>
          </cell>
        </row>
        <row r="67">
          <cell r="B67" t="str">
            <v>Branch location</v>
          </cell>
          <cell r="F67" t="str">
            <v>At ________. Branch was approved to be established on dd month yyyy pursuant to Investment Certificate No_______dated  dd month yyyy, issued by ______________.</v>
          </cell>
          <cell r="M67" t="str">
            <v>Chi nhánh</v>
          </cell>
          <cell r="Q67" t="str">
            <v>Tại __________. Chi nhánh được phê duyệt thành lập ngày ___ tháng ___ năm theo Giấy Chứng nhận Đầu tư số___ ngày___ tháng ____năm____, được cấp bởi______.</v>
          </cell>
          <cell r="Y67" t="str">
            <v>Branch location</v>
          </cell>
          <cell r="AC67" t="str">
            <v>At ________. Branch was approved to be established on dd month yyyy pursuant to Investment Certificate No_______dated  dd month yyyy, issued by ______________.</v>
          </cell>
          <cell r="AD67" t="str">
            <v/>
          </cell>
          <cell r="AE67" t="str">
            <v/>
          </cell>
          <cell r="AF67" t="str">
            <v/>
          </cell>
          <cell r="AG67" t="str">
            <v/>
          </cell>
          <cell r="AJ67" t="str">
            <v>Chi nhánh</v>
          </cell>
          <cell r="AN67" t="str">
            <v>Tại __________. Chi nhánh được phê duyệt thành lập ngày ___ tháng ___ năm theo Giấy Chứng nhận Đầu tư số___ ngày___ tháng ____năm____, được cấp bởi______.</v>
          </cell>
          <cell r="AO67" t="str">
            <v/>
          </cell>
          <cell r="AP67" t="str">
            <v/>
          </cell>
          <cell r="AQ67" t="str">
            <v/>
          </cell>
          <cell r="AR67" t="str">
            <v/>
          </cell>
        </row>
        <row r="68">
          <cell r="AC68" t="str">
            <v/>
          </cell>
          <cell r="AD68" t="str">
            <v/>
          </cell>
          <cell r="AE68" t="str">
            <v/>
          </cell>
          <cell r="AF68" t="str">
            <v/>
          </cell>
          <cell r="AG68" t="str">
            <v/>
          </cell>
          <cell r="AN68" t="str">
            <v/>
          </cell>
          <cell r="AO68" t="str">
            <v/>
          </cell>
          <cell r="AP68" t="str">
            <v/>
          </cell>
          <cell r="AQ68" t="str">
            <v/>
          </cell>
          <cell r="AR68" t="str">
            <v/>
          </cell>
        </row>
        <row r="69">
          <cell r="AC69" t="str">
            <v/>
          </cell>
          <cell r="AD69" t="str">
            <v/>
          </cell>
          <cell r="AE69" t="str">
            <v/>
          </cell>
          <cell r="AF69" t="str">
            <v/>
          </cell>
          <cell r="AG69" t="str">
            <v/>
          </cell>
          <cell r="AN69" t="str">
            <v/>
          </cell>
          <cell r="AO69" t="str">
            <v/>
          </cell>
          <cell r="AP69" t="str">
            <v/>
          </cell>
          <cell r="AQ69" t="str">
            <v/>
          </cell>
          <cell r="AR69" t="str">
            <v/>
          </cell>
        </row>
        <row r="71">
          <cell r="B71" t="str">
            <v>(2+ chi nhánh)</v>
          </cell>
        </row>
        <row r="72">
          <cell r="B72" t="str">
            <v>Branch location</v>
          </cell>
          <cell r="M72" t="str">
            <v>Chi nhánh</v>
          </cell>
          <cell r="Y72" t="str">
            <v>Branch location</v>
          </cell>
          <cell r="AJ72" t="str">
            <v>Chi nhánh</v>
          </cell>
        </row>
        <row r="73">
          <cell r="C73" t="str">
            <v>HCM</v>
          </cell>
          <cell r="F73" t="str">
            <v>At ________. Branch was approved to be established on dd month yyyy pursuant to Investment Certificate No_______dated  dd month yyyy, issued by ______________.</v>
          </cell>
          <cell r="N73" t="str">
            <v>HCM</v>
          </cell>
          <cell r="Q73" t="str">
            <v>Tại __________. Chi nhánh được phê duyệt thành lập ngày ___ tháng ___ năm theo Giấy Chứng nhận Đầu tư số___ ngày___ tháng ____năm____, được cấp bởi______.</v>
          </cell>
          <cell r="Y73" t="str">
            <v/>
          </cell>
          <cell r="Z73" t="str">
            <v>HCM</v>
          </cell>
          <cell r="AC73" t="str">
            <v>At ________. Branch was approved to be established on dd month yyyy pursuant to Investment Certificate No_______dated  dd month yyyy, issued by ______________.</v>
          </cell>
          <cell r="AD73" t="str">
            <v/>
          </cell>
          <cell r="AE73" t="str">
            <v/>
          </cell>
          <cell r="AF73" t="str">
            <v/>
          </cell>
          <cell r="AG73" t="str">
            <v/>
          </cell>
          <cell r="AJ73" t="str">
            <v/>
          </cell>
          <cell r="AK73" t="str">
            <v>HCM</v>
          </cell>
          <cell r="AN73" t="str">
            <v>Tại __________. Chi nhánh được phê duyệt thành lập ngày ___ tháng ___ năm theo Giấy Chứng nhận Đầu tư số___ ngày___ tháng ____năm____, được cấp bởi______.</v>
          </cell>
          <cell r="AO73" t="str">
            <v/>
          </cell>
          <cell r="AP73" t="str">
            <v/>
          </cell>
          <cell r="AQ73" t="str">
            <v/>
          </cell>
          <cell r="AR73" t="str">
            <v/>
          </cell>
        </row>
        <row r="74">
          <cell r="AC74" t="str">
            <v/>
          </cell>
          <cell r="AD74" t="str">
            <v/>
          </cell>
          <cell r="AE74" t="str">
            <v/>
          </cell>
          <cell r="AF74" t="str">
            <v/>
          </cell>
          <cell r="AG74" t="str">
            <v/>
          </cell>
          <cell r="AN74" t="str">
            <v/>
          </cell>
          <cell r="AO74" t="str">
            <v/>
          </cell>
          <cell r="AP74" t="str">
            <v/>
          </cell>
          <cell r="AQ74" t="str">
            <v/>
          </cell>
          <cell r="AR74" t="str">
            <v/>
          </cell>
        </row>
        <row r="75">
          <cell r="AC75" t="str">
            <v/>
          </cell>
          <cell r="AD75" t="str">
            <v/>
          </cell>
          <cell r="AE75" t="str">
            <v/>
          </cell>
          <cell r="AF75" t="str">
            <v/>
          </cell>
          <cell r="AG75" t="str">
            <v/>
          </cell>
          <cell r="AN75" t="str">
            <v/>
          </cell>
          <cell r="AO75" t="str">
            <v/>
          </cell>
          <cell r="AP75" t="str">
            <v/>
          </cell>
          <cell r="AQ75" t="str">
            <v/>
          </cell>
          <cell r="AR75" t="str">
            <v/>
          </cell>
        </row>
        <row r="77">
          <cell r="C77" t="str">
            <v>HN</v>
          </cell>
          <cell r="F77" t="str">
            <v>At ________. Branch was approved to be established on dd month yyyy pursuant to Investment Certificate No_______dated  dd month yyyy, issued by ______________.</v>
          </cell>
          <cell r="N77" t="str">
            <v>HN</v>
          </cell>
          <cell r="Q77" t="str">
            <v>Tại __________. Chi nhánh được phê duyệt thành lập ngày ___ tháng ___ năm theo Giấy Chứng nhận Đầu tư số___ ngày___ tháng ____năm____, được cấp bởi______.</v>
          </cell>
          <cell r="Y77" t="str">
            <v/>
          </cell>
          <cell r="Z77" t="str">
            <v>HN</v>
          </cell>
          <cell r="AC77" t="str">
            <v>At ________. Branch was approved to be established on dd month yyyy pursuant to Investment Certificate No_______dated  dd month yyyy, issued by ______________.</v>
          </cell>
          <cell r="AD77" t="str">
            <v/>
          </cell>
          <cell r="AE77" t="str">
            <v/>
          </cell>
          <cell r="AF77" t="str">
            <v/>
          </cell>
          <cell r="AG77" t="str">
            <v/>
          </cell>
          <cell r="AJ77" t="str">
            <v/>
          </cell>
          <cell r="AK77" t="str">
            <v>HN</v>
          </cell>
          <cell r="AN77" t="str">
            <v>Tại __________. Chi nhánh được phê duyệt thành lập ngày ___ tháng ___ năm theo Giấy Chứng nhận Đầu tư số___ ngày___ tháng ____năm____, được cấp bởi______.</v>
          </cell>
          <cell r="AO77" t="str">
            <v/>
          </cell>
          <cell r="AP77" t="str">
            <v/>
          </cell>
          <cell r="AQ77" t="str">
            <v/>
          </cell>
          <cell r="AR77" t="str">
            <v/>
          </cell>
        </row>
        <row r="78">
          <cell r="AC78" t="str">
            <v/>
          </cell>
          <cell r="AD78" t="str">
            <v/>
          </cell>
          <cell r="AE78" t="str">
            <v/>
          </cell>
          <cell r="AF78" t="str">
            <v/>
          </cell>
          <cell r="AG78" t="str">
            <v/>
          </cell>
          <cell r="AN78" t="str">
            <v/>
          </cell>
          <cell r="AO78" t="str">
            <v/>
          </cell>
          <cell r="AP78" t="str">
            <v/>
          </cell>
          <cell r="AQ78" t="str">
            <v/>
          </cell>
          <cell r="AR78" t="str">
            <v/>
          </cell>
        </row>
        <row r="79">
          <cell r="AC79" t="str">
            <v/>
          </cell>
          <cell r="AD79" t="str">
            <v/>
          </cell>
          <cell r="AE79" t="str">
            <v/>
          </cell>
          <cell r="AF79" t="str">
            <v/>
          </cell>
          <cell r="AG79" t="str">
            <v/>
          </cell>
          <cell r="AN79" t="str">
            <v/>
          </cell>
          <cell r="AO79" t="str">
            <v/>
          </cell>
          <cell r="AP79" t="str">
            <v/>
          </cell>
          <cell r="AQ79" t="str">
            <v/>
          </cell>
          <cell r="AR79" t="str">
            <v/>
          </cell>
        </row>
        <row r="81">
          <cell r="B81" t="str">
            <v>Second factory location</v>
          </cell>
          <cell r="F81" t="str">
            <v>At No. 00 VSIP II-A, Road No. 00, Vietnam - Singapore Industrial Park II-A, Tan Uyen District, Binh Duong Province, Vietnam.</v>
          </cell>
          <cell r="M81" t="str">
            <v xml:space="preserve">Nhà máy thứ hai </v>
          </cell>
          <cell r="Q81" t="str">
            <v>Tại Số 00 VSIP II-A, Đường số 00, Khu Công nghiệp Việt Nam - Singapore II-A, Huyện Tân Uyên, Tỉnh Bình Dương, Việt Nam.</v>
          </cell>
          <cell r="Y81" t="str">
            <v>Second factory location</v>
          </cell>
          <cell r="AC81" t="str">
            <v>At No. 00 VSIP II-A, Road No. 00, Vietnam - Singapore Industrial Park II-A, Tan Uyen District, Binh Duong Province, Vietnam.</v>
          </cell>
          <cell r="AD81" t="str">
            <v/>
          </cell>
          <cell r="AE81" t="str">
            <v/>
          </cell>
          <cell r="AF81" t="str">
            <v/>
          </cell>
          <cell r="AG81" t="str">
            <v/>
          </cell>
          <cell r="AJ81" t="str">
            <v xml:space="preserve">Nhà máy thứ hai </v>
          </cell>
          <cell r="AN81" t="str">
            <v>Tại Số 00 VSIP II-A, Đường số 00, Khu Công nghiệp Việt Nam - Singapore II-A, Huyện Tân Uyên, Tỉnh Bình Dương, Việt Nam.</v>
          </cell>
          <cell r="AO81" t="str">
            <v/>
          </cell>
          <cell r="AP81" t="str">
            <v/>
          </cell>
          <cell r="AQ81" t="str">
            <v/>
          </cell>
          <cell r="AR81" t="str">
            <v/>
          </cell>
        </row>
        <row r="82">
          <cell r="AC82" t="str">
            <v/>
          </cell>
          <cell r="AD82" t="str">
            <v/>
          </cell>
          <cell r="AE82" t="str">
            <v/>
          </cell>
          <cell r="AF82" t="str">
            <v/>
          </cell>
          <cell r="AG82" t="str">
            <v/>
          </cell>
          <cell r="AN82" t="str">
            <v/>
          </cell>
          <cell r="AO82" t="str">
            <v/>
          </cell>
          <cell r="AP82" t="str">
            <v/>
          </cell>
          <cell r="AQ82" t="str">
            <v/>
          </cell>
          <cell r="AR82" t="str">
            <v/>
          </cell>
        </row>
        <row r="84">
          <cell r="B84" t="str">
            <v>(1 chi nhánh)</v>
          </cell>
        </row>
        <row r="85">
          <cell r="B85" t="str">
            <v>Representative Office location</v>
          </cell>
          <cell r="F85" t="str">
            <v>At ________. The Representative Office was approved to be established on  dd month yyyy pursuant to Investment Certificate No_______dated  dd month yyyy, issued by _______________.</v>
          </cell>
          <cell r="M85" t="str">
            <v>Văn phòng đại diện</v>
          </cell>
          <cell r="Q85" t="str">
            <v>Tại _____. Văn phòng đại diện được phê duyệt thành lập ngày___tháng____ năm____  theo Giấy Chứng nhận Đầu tư số______ngày___ tháng ____năm____, được cấp bởi_____.</v>
          </cell>
          <cell r="Y85" t="str">
            <v>Representative Office location</v>
          </cell>
          <cell r="Z85" t="str">
            <v/>
          </cell>
          <cell r="AA85" t="str">
            <v/>
          </cell>
          <cell r="AB85" t="str">
            <v/>
          </cell>
          <cell r="AC85" t="str">
            <v>At ________. The Representative Office was approved to be established on  dd month yyyy pursuant to Investment Certificate No_______dated  dd month yyyy, issued by _______________.</v>
          </cell>
          <cell r="AD85" t="str">
            <v/>
          </cell>
          <cell r="AE85" t="str">
            <v/>
          </cell>
          <cell r="AF85" t="str">
            <v/>
          </cell>
          <cell r="AG85" t="str">
            <v/>
          </cell>
          <cell r="AJ85" t="str">
            <v>Văn phòng đại diện</v>
          </cell>
          <cell r="AN85" t="str">
            <v>Tại _____. Văn phòng đại diện được phê duyệt thành lập ngày___tháng____ năm____  theo Giấy Chứng nhận Đầu tư số______ngày___ tháng ____năm____, được cấp bởi_____.</v>
          </cell>
          <cell r="AO85" t="str">
            <v/>
          </cell>
          <cell r="AP85" t="str">
            <v/>
          </cell>
          <cell r="AQ85" t="str">
            <v/>
          </cell>
          <cell r="AR85" t="str">
            <v/>
          </cell>
        </row>
        <row r="86">
          <cell r="Y86" t="str">
            <v/>
          </cell>
          <cell r="Z86" t="str">
            <v/>
          </cell>
          <cell r="AA86" t="str">
            <v/>
          </cell>
          <cell r="AB86" t="str">
            <v/>
          </cell>
          <cell r="AC86" t="str">
            <v/>
          </cell>
          <cell r="AD86" t="str">
            <v/>
          </cell>
          <cell r="AE86" t="str">
            <v/>
          </cell>
          <cell r="AF86" t="str">
            <v/>
          </cell>
          <cell r="AG86" t="str">
            <v/>
          </cell>
          <cell r="AN86" t="str">
            <v/>
          </cell>
          <cell r="AO86" t="str">
            <v/>
          </cell>
          <cell r="AP86" t="str">
            <v/>
          </cell>
          <cell r="AQ86" t="str">
            <v/>
          </cell>
          <cell r="AR86" t="str">
            <v/>
          </cell>
        </row>
        <row r="87">
          <cell r="AC87" t="str">
            <v/>
          </cell>
          <cell r="AD87" t="str">
            <v/>
          </cell>
          <cell r="AE87" t="str">
            <v/>
          </cell>
          <cell r="AF87" t="str">
            <v/>
          </cell>
          <cell r="AG87" t="str">
            <v/>
          </cell>
          <cell r="AN87" t="str">
            <v/>
          </cell>
          <cell r="AO87" t="str">
            <v/>
          </cell>
          <cell r="AP87" t="str">
            <v/>
          </cell>
          <cell r="AQ87" t="str">
            <v/>
          </cell>
          <cell r="AR87" t="str">
            <v/>
          </cell>
        </row>
        <row r="88">
          <cell r="B88" t="str">
            <v>(2+ chi nhánh)</v>
          </cell>
        </row>
        <row r="89">
          <cell r="B89" t="str">
            <v>Representative Office location</v>
          </cell>
          <cell r="M89" t="str">
            <v>Văn phòng đại diện</v>
          </cell>
          <cell r="Y89" t="str">
            <v>Representative Office location</v>
          </cell>
          <cell r="AJ89" t="str">
            <v>Văn phòng đại diện</v>
          </cell>
        </row>
        <row r="90">
          <cell r="B90" t="str">
            <v>xxx</v>
          </cell>
          <cell r="F90" t="str">
            <v>At ________. The Representative Office was approved to be established on  dd month yyyy pursuant to Investment Certificate No_______dated  dd month yyyy, issued by _______________.</v>
          </cell>
          <cell r="M90" t="str">
            <v>xxx</v>
          </cell>
          <cell r="Q90" t="str">
            <v>Tại _____. Văn phòng đại diện được phê duyệt thành lập ngày___tháng____ năm____  theo Giấy Chứng nhận Đầu tư số______ngày___ tháng ____năm____, được cấp bởi_____.</v>
          </cell>
          <cell r="Y90" t="str">
            <v>xxx</v>
          </cell>
          <cell r="Z90" t="str">
            <v/>
          </cell>
          <cell r="AA90" t="str">
            <v/>
          </cell>
          <cell r="AB90" t="str">
            <v/>
          </cell>
          <cell r="AC90" t="str">
            <v>At ________. The Representative Office was approved to be established on  dd month yyyy pursuant to Investment Certificate No_______dated  dd month yyyy, issued by _______________.</v>
          </cell>
          <cell r="AD90" t="str">
            <v/>
          </cell>
          <cell r="AE90" t="str">
            <v/>
          </cell>
          <cell r="AF90" t="str">
            <v/>
          </cell>
          <cell r="AG90" t="str">
            <v/>
          </cell>
          <cell r="AJ90" t="str">
            <v>xxx</v>
          </cell>
          <cell r="AN90" t="str">
            <v>Tại _____. Văn phòng đại diện được phê duyệt thành lập ngày___tháng____ năm____  theo Giấy Chứng nhận Đầu tư số______ngày___ tháng ____năm____, được cấp bởi_____.</v>
          </cell>
          <cell r="AO90" t="str">
            <v/>
          </cell>
          <cell r="AP90" t="str">
            <v/>
          </cell>
          <cell r="AQ90" t="str">
            <v/>
          </cell>
          <cell r="AR90" t="str">
            <v/>
          </cell>
        </row>
        <row r="91">
          <cell r="Y91" t="str">
            <v/>
          </cell>
          <cell r="Z91" t="str">
            <v/>
          </cell>
          <cell r="AA91" t="str">
            <v/>
          </cell>
          <cell r="AB91" t="str">
            <v/>
          </cell>
          <cell r="AC91" t="str">
            <v/>
          </cell>
          <cell r="AD91" t="str">
            <v/>
          </cell>
          <cell r="AE91" t="str">
            <v/>
          </cell>
          <cell r="AF91" t="str">
            <v/>
          </cell>
          <cell r="AG91" t="str">
            <v/>
          </cell>
          <cell r="AN91" t="str">
            <v/>
          </cell>
          <cell r="AO91" t="str">
            <v/>
          </cell>
          <cell r="AP91" t="str">
            <v/>
          </cell>
          <cell r="AQ91" t="str">
            <v/>
          </cell>
          <cell r="AR91" t="str">
            <v/>
          </cell>
        </row>
        <row r="92">
          <cell r="AC92" t="str">
            <v/>
          </cell>
          <cell r="AD92" t="str">
            <v/>
          </cell>
          <cell r="AE92" t="str">
            <v/>
          </cell>
          <cell r="AF92" t="str">
            <v/>
          </cell>
          <cell r="AG92" t="str">
            <v/>
          </cell>
          <cell r="AN92" t="str">
            <v/>
          </cell>
          <cell r="AO92" t="str">
            <v/>
          </cell>
          <cell r="AP92" t="str">
            <v/>
          </cell>
          <cell r="AQ92" t="str">
            <v/>
          </cell>
          <cell r="AR92" t="str">
            <v/>
          </cell>
        </row>
        <row r="94">
          <cell r="B94" t="str">
            <v>xxx</v>
          </cell>
          <cell r="F94" t="str">
            <v>At ________. The Representative Office was approved to be established on  dd month yyyy pursuant to Investment Certificate No_______dated  dd month yyyy, issued by _______________.</v>
          </cell>
          <cell r="M94" t="str">
            <v>xxx</v>
          </cell>
          <cell r="Q94" t="str">
            <v>Tại _____. Văn phòng đại diện được phê duyệt thành lập ngày___tháng____ năm____  theo Giấy Chứng nhận Đầu tư số______ngày___ tháng ____năm____, được cấp bởi_____.</v>
          </cell>
          <cell r="Y94" t="str">
            <v>xxx</v>
          </cell>
          <cell r="Z94" t="str">
            <v/>
          </cell>
          <cell r="AA94" t="str">
            <v/>
          </cell>
          <cell r="AB94" t="str">
            <v/>
          </cell>
          <cell r="AC94" t="str">
            <v>At ________. The Representative Office was approved to be established on  dd month yyyy pursuant to Investment Certificate No_______dated  dd month yyyy, issued by _______________.</v>
          </cell>
          <cell r="AD94" t="str">
            <v/>
          </cell>
          <cell r="AE94" t="str">
            <v/>
          </cell>
          <cell r="AF94" t="str">
            <v/>
          </cell>
          <cell r="AG94" t="str">
            <v/>
          </cell>
          <cell r="AJ94" t="str">
            <v>xxx</v>
          </cell>
          <cell r="AN94" t="str">
            <v>Tại _____. Văn phòng đại diện được phê duyệt thành lập ngày___tháng____ năm____  theo Giấy Chứng nhận Đầu tư số______ngày___ tháng ____năm____, được cấp bởi_____.</v>
          </cell>
          <cell r="AO94" t="str">
            <v/>
          </cell>
          <cell r="AP94" t="str">
            <v/>
          </cell>
          <cell r="AQ94" t="str">
            <v/>
          </cell>
          <cell r="AR94" t="str">
            <v/>
          </cell>
        </row>
        <row r="95">
          <cell r="Y95" t="str">
            <v/>
          </cell>
          <cell r="Z95" t="str">
            <v/>
          </cell>
          <cell r="AA95" t="str">
            <v/>
          </cell>
          <cell r="AB95" t="str">
            <v/>
          </cell>
          <cell r="AC95" t="str">
            <v/>
          </cell>
          <cell r="AD95" t="str">
            <v/>
          </cell>
          <cell r="AE95" t="str">
            <v/>
          </cell>
          <cell r="AF95" t="str">
            <v/>
          </cell>
          <cell r="AG95" t="str">
            <v/>
          </cell>
          <cell r="AN95" t="str">
            <v/>
          </cell>
          <cell r="AO95" t="str">
            <v/>
          </cell>
          <cell r="AP95" t="str">
            <v/>
          </cell>
          <cell r="AQ95" t="str">
            <v/>
          </cell>
          <cell r="AR95" t="str">
            <v/>
          </cell>
        </row>
        <row r="96">
          <cell r="AC96" t="str">
            <v/>
          </cell>
          <cell r="AD96" t="str">
            <v/>
          </cell>
          <cell r="AE96" t="str">
            <v/>
          </cell>
          <cell r="AF96" t="str">
            <v/>
          </cell>
          <cell r="AG96" t="str">
            <v/>
          </cell>
          <cell r="AN96" t="str">
            <v/>
          </cell>
          <cell r="AO96" t="str">
            <v/>
          </cell>
          <cell r="AP96" t="str">
            <v/>
          </cell>
          <cell r="AQ96" t="str">
            <v/>
          </cell>
          <cell r="AR96" t="str">
            <v/>
          </cell>
        </row>
        <row r="98">
          <cell r="B98" t="str">
            <v>Auditor</v>
          </cell>
          <cell r="F98" t="str">
            <v>Crowe Vietnam Co., Ltd</v>
          </cell>
          <cell r="M98" t="str">
            <v>Kiểm toán viên</v>
          </cell>
          <cell r="Q98" t="str">
            <v>Công ty TNHH Crowe Việt Nam</v>
          </cell>
          <cell r="Y98" t="str">
            <v>Auditor</v>
          </cell>
          <cell r="AC98" t="str">
            <v>Crowe Vietnam Co., Ltd</v>
          </cell>
          <cell r="AJ98" t="str">
            <v>Kiểm toán viên</v>
          </cell>
          <cell r="AN98" t="str">
            <v>Công ty TNHH Crowe Việt Nam</v>
          </cell>
        </row>
        <row r="99">
          <cell r="F99" t="str">
            <v>Member Crowe Global</v>
          </cell>
          <cell r="Q99" t="str">
            <v>Thành viên Hãng Crowe Global</v>
          </cell>
          <cell r="AC99" t="str">
            <v>Member Crowe Global</v>
          </cell>
          <cell r="AN99" t="str">
            <v>Thành viên Hãng Crowe Global</v>
          </cell>
        </row>
        <row r="103">
          <cell r="B103" t="str">
            <v>Crowe Vietnam Master Binder Template v1.1</v>
          </cell>
          <cell r="M103" t="str">
            <v>Crowe Vietnam Master Binder Template v1.1</v>
          </cell>
          <cell r="Y103" t="str">
            <v>Crowe Vietnam Master Binder Template v1.1</v>
          </cell>
          <cell r="AJ103" t="str">
            <v>Crowe Vietnam Master Binder Template v1.1</v>
          </cell>
        </row>
        <row r="105">
          <cell r="B105" t="str">
            <v>REPORT OF THE BOARD OF GENERAL DIRECTORS</v>
          </cell>
          <cell r="M105" t="str">
            <v>BÁO CÁO CỦA BAN TỔNG GIÁM ĐỐC</v>
          </cell>
          <cell r="Y105" t="str">
            <v>REPORT OF THE BOARD OF GENERAL DIRECTORS</v>
          </cell>
          <cell r="AJ105" t="str">
            <v>BÁO CÁO CỦA BAN TỔNG GIÁM ĐỐC</v>
          </cell>
        </row>
        <row r="107">
          <cell r="B107" t="str">
            <v>The Board of General Directors of Crowe Vietnam Master Binder Template v1.1 (“the Company”) presents this Report and the Financial Statements of the Company for the year ended 31 December 2023.</v>
          </cell>
          <cell r="M107" t="str">
            <v>Ban Tổng Giám đốc Crowe Vietnam Master Binder Template v1.1 (“Công ty”) trình bày Báo cáo này và Báo cáo Tài chính của Công ty cho năm kết thúc ngày 31 tháng 12 năm 2023.</v>
          </cell>
          <cell r="Y107" t="str">
            <v>The Board of General Directors of Crowe Vietnam Master Binder Template v1.1 (“the Company”) presents this Report and the translated  Financial Statements in VND of the Company for the year ended 31 December 2023.</v>
          </cell>
          <cell r="AJ107" t="str">
            <v>Ban Tổng Giám đốc Crowe Vietnam Master Binder Template v1.1 (“Công ty”) trình bày Báo cáo này và Báo cáo Tài chính chuyển đổi sang VND của Công ty cho năm kết thúc ngày 31 tháng 12 năm 2023.</v>
          </cell>
        </row>
        <row r="111">
          <cell r="B111" t="str">
            <v>THE BOARD OF GENERAL DIRECTORS' RESPONSIBILITY FOR THE FINANCIAL STATEMENTS</v>
          </cell>
          <cell r="M111" t="str">
            <v xml:space="preserve">TRÁCH NHIỆM CỦA BAN TỔNG GIÁM ĐỐC ĐỐI VỚI BÁO CÁO TÀI CHÍNH </v>
          </cell>
          <cell r="Y111" t="str">
            <v>THE BOARD OF GENERAL DIRECTORS' RESPONSIBILITY FOR THE TRANSLATED  FINANCIAL STATEMENTS IN VND</v>
          </cell>
          <cell r="AJ111" t="str">
            <v>TRÁCH NHIỆM CỦA BAN TỔNG GIÁM ĐỐC ĐỐI VỚI BÁO CÁO TÀI CHÍNH CHUYỂN ĐỔI SANG VND</v>
          </cell>
        </row>
        <row r="114">
          <cell r="B114" t="str">
            <v>The Board of General Directors is responsible for the preparation and presentation of the Financial Statements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Financial Statements, the Board of General Directors is required to:</v>
          </cell>
          <cell r="M114" t="str">
            <v>Ban Tổng Giám đốc chịu trách nhiệm lập và trình bày Báo cáo Tài chính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Trong quá trình lập Báo cáo Tài chính này, Ban Tổng Giám đốc cần phải:</v>
          </cell>
          <cell r="Y114" t="str">
            <v>The Board of General Directors is responsible for the preparation and presentation of the translated Financial Statements in VND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translated Financial Statements in VND, the Board of General Directors is required to:</v>
          </cell>
          <cell r="AJ114" t="str">
            <v>Ban Tổng Giám đốc chịu trách nhiệm lập và trình bày Báo cáo Tài chính chuyển đổi sang VND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chuyển đổi sang VND. Trong quá trình lập Báo cáo Tài chính chuyển đổi sang VND này, Ban Tổng Giám đốc cần phải:</v>
          </cell>
        </row>
        <row r="121">
          <cell r="B121" t="str">
            <v>§</v>
          </cell>
          <cell r="C121" t="str">
            <v>select appropriate accounting policies and then apply them consistently;</v>
          </cell>
          <cell r="M121" t="str">
            <v>§</v>
          </cell>
          <cell r="N121" t="str">
            <v>lựa chọn các chính sách kế toán thích hợp và áp dụng các chính sách này một cách nhất quán;</v>
          </cell>
          <cell r="Y121" t="str">
            <v>§</v>
          </cell>
          <cell r="Z121" t="str">
            <v>select appropriate accounting policies and then apply them consistently;</v>
          </cell>
          <cell r="AJ121" t="str">
            <v>§</v>
          </cell>
          <cell r="AK121" t="str">
            <v>lựa chọn các chính sách kế toán thích hợp và áp dụng các chính sách này một cách nhất quán;</v>
          </cell>
        </row>
        <row r="123">
          <cell r="B123" t="str">
            <v>§</v>
          </cell>
          <cell r="C123" t="str">
            <v>make judgements and estimates that are reasonable and prudent;</v>
          </cell>
          <cell r="M123" t="str">
            <v>§</v>
          </cell>
          <cell r="N123" t="str">
            <v xml:space="preserve">thực hiện các đánh giá và ước tính một cách hợp lý và thận trọng; </v>
          </cell>
          <cell r="Y123" t="str">
            <v>§</v>
          </cell>
          <cell r="Z123" t="str">
            <v>make judgements and estimates that are reasonable and prudent;</v>
          </cell>
          <cell r="AJ123" t="str">
            <v>§</v>
          </cell>
          <cell r="AK123" t="str">
            <v xml:space="preserve">thực hiện các đánh giá và ước tính một cách hợp lý và thận trọng; </v>
          </cell>
        </row>
        <row r="125">
          <cell r="B125" t="str">
            <v>§</v>
          </cell>
          <cell r="C125" t="str">
            <v>state whether applicable accounting standards have been conformed, subject to any material departures disclosed and explained in the Financial Statements;</v>
          </cell>
          <cell r="M125" t="str">
            <v>§</v>
          </cell>
          <cell r="N125" t="str">
            <v>nêu rõ các chuẩn mực kế toán áp dụng cho Công ty có được tuân thủ hay không và tất cả những sai lệch trọng yếu so với những chuẩn mực này đã được trình bày và giải thích trong Báo cáo Tài chính;</v>
          </cell>
          <cell r="Y125" t="str">
            <v>§</v>
          </cell>
          <cell r="Z125" t="str">
            <v>state whether applicable accounting standards have been conformed, subject to any material departures disclosed and explained in the Financial Statements;</v>
          </cell>
          <cell r="AA125">
            <v>0</v>
          </cell>
          <cell r="AB125">
            <v>0</v>
          </cell>
          <cell r="AC125">
            <v>0</v>
          </cell>
          <cell r="AD125">
            <v>0</v>
          </cell>
          <cell r="AE125">
            <v>0</v>
          </cell>
          <cell r="AF125">
            <v>0</v>
          </cell>
          <cell r="AG125">
            <v>0</v>
          </cell>
          <cell r="AJ125" t="str">
            <v>§</v>
          </cell>
          <cell r="AK125" t="str">
            <v>nêu rõ các chuẩn mực kế toán áp dụng cho Công ty có được tuân thủ hay không và tất cả những sai lệch trọng yếu so với những chuẩn mực này đã được trình bày và giải thích trong Báo cáo Tài chính;</v>
          </cell>
          <cell r="AL125">
            <v>0</v>
          </cell>
          <cell r="AM125">
            <v>0</v>
          </cell>
          <cell r="AN125">
            <v>0</v>
          </cell>
          <cell r="AO125">
            <v>0</v>
          </cell>
          <cell r="AP125">
            <v>0</v>
          </cell>
          <cell r="AQ125">
            <v>0</v>
          </cell>
          <cell r="AR125">
            <v>0</v>
          </cell>
        </row>
        <row r="126">
          <cell r="Z126">
            <v>0</v>
          </cell>
          <cell r="AA126">
            <v>0</v>
          </cell>
          <cell r="AB126">
            <v>0</v>
          </cell>
          <cell r="AC126">
            <v>0</v>
          </cell>
          <cell r="AD126">
            <v>0</v>
          </cell>
          <cell r="AE126">
            <v>0</v>
          </cell>
          <cell r="AF126">
            <v>0</v>
          </cell>
          <cell r="AG126">
            <v>0</v>
          </cell>
          <cell r="AK126">
            <v>0</v>
          </cell>
          <cell r="AL126">
            <v>0</v>
          </cell>
          <cell r="AM126">
            <v>0</v>
          </cell>
          <cell r="AN126">
            <v>0</v>
          </cell>
          <cell r="AO126">
            <v>0</v>
          </cell>
          <cell r="AP126">
            <v>0</v>
          </cell>
          <cell r="AQ126">
            <v>0</v>
          </cell>
          <cell r="AR126">
            <v>0</v>
          </cell>
        </row>
        <row r="128">
          <cell r="B128" t="str">
            <v>§</v>
          </cell>
          <cell r="C128" t="str">
            <v>design and implement an effective internal control system for properly preparing and presenting the financial statements so as to minimise misstatements whether due to fraud or error; and</v>
          </cell>
          <cell r="M128" t="str">
            <v>§</v>
          </cell>
          <cell r="N128" t="str">
            <v>thiết kế và thực hiện hệ thống kiểm soát nội bộ một cách hữu hiệu cho mục đích lập và trình bày Báo cáo Tài chính hợp lý nhằm hạn chế sai sót do gian lận hoặc nhầm lẫn; và</v>
          </cell>
          <cell r="Y128" t="str">
            <v>§</v>
          </cell>
          <cell r="Z128" t="str">
            <v>design and implement an effective internal control system for properly preparing and presenting the financial statements so as to minimise misstatements whether due to fraud or error; and</v>
          </cell>
          <cell r="AA128">
            <v>0</v>
          </cell>
          <cell r="AB128">
            <v>0</v>
          </cell>
          <cell r="AC128">
            <v>0</v>
          </cell>
          <cell r="AD128">
            <v>0</v>
          </cell>
          <cell r="AE128">
            <v>0</v>
          </cell>
          <cell r="AF128">
            <v>0</v>
          </cell>
          <cell r="AG128">
            <v>0</v>
          </cell>
          <cell r="AJ128" t="str">
            <v>§</v>
          </cell>
          <cell r="AK128" t="str">
            <v>thiết kế và thực hiện hệ thống kiểm soát nội bộ một cách hữu hiệu cho mục đích lập và trình bày Báo cáo Tài chính hợp lý nhằm hạn chế sai sót do gian lận hoặc nhầm lẫn; và</v>
          </cell>
          <cell r="AL128">
            <v>0</v>
          </cell>
          <cell r="AM128">
            <v>0</v>
          </cell>
          <cell r="AN128">
            <v>0</v>
          </cell>
          <cell r="AO128">
            <v>0</v>
          </cell>
          <cell r="AP128">
            <v>0</v>
          </cell>
          <cell r="AQ128">
            <v>0</v>
          </cell>
          <cell r="AR128">
            <v>0</v>
          </cell>
        </row>
        <row r="129">
          <cell r="Z129">
            <v>0</v>
          </cell>
          <cell r="AA129">
            <v>0</v>
          </cell>
          <cell r="AB129">
            <v>0</v>
          </cell>
          <cell r="AC129">
            <v>0</v>
          </cell>
          <cell r="AD129">
            <v>0</v>
          </cell>
          <cell r="AE129">
            <v>0</v>
          </cell>
          <cell r="AF129">
            <v>0</v>
          </cell>
          <cell r="AG129">
            <v>0</v>
          </cell>
          <cell r="AK129">
            <v>0</v>
          </cell>
          <cell r="AL129">
            <v>0</v>
          </cell>
          <cell r="AM129">
            <v>0</v>
          </cell>
          <cell r="AN129">
            <v>0</v>
          </cell>
          <cell r="AO129">
            <v>0</v>
          </cell>
          <cell r="AP129">
            <v>0</v>
          </cell>
          <cell r="AQ129">
            <v>0</v>
          </cell>
          <cell r="AR129">
            <v>0</v>
          </cell>
        </row>
        <row r="131">
          <cell r="B131" t="str">
            <v>§</v>
          </cell>
          <cell r="C131" t="str">
            <v>prepare the Financial Statements on the going concern basis unless the going concern assumption is inappropriate.</v>
          </cell>
          <cell r="M131" t="str">
            <v>§</v>
          </cell>
          <cell r="N131" t="str">
            <v>lập Báo cáo Tài chính trên cơ sở nguyên tắc hoạt động liên tục trừ trường hợp không thể cho rằng Công ty sẽ tiếp tục hoạt động.</v>
          </cell>
          <cell r="Y131" t="str">
            <v>§</v>
          </cell>
          <cell r="Z131" t="str">
            <v>prepare the Financial Statements on the going concern basis unless the going concern assumption is inappropriate.</v>
          </cell>
          <cell r="AA131">
            <v>0</v>
          </cell>
          <cell r="AB131">
            <v>0</v>
          </cell>
          <cell r="AC131">
            <v>0</v>
          </cell>
          <cell r="AD131">
            <v>0</v>
          </cell>
          <cell r="AE131">
            <v>0</v>
          </cell>
          <cell r="AF131">
            <v>0</v>
          </cell>
          <cell r="AG131">
            <v>0</v>
          </cell>
          <cell r="AJ131" t="str">
            <v>§</v>
          </cell>
          <cell r="AK131" t="str">
            <v>lập Báo cáo Tài chính trên cơ sở nguyên tắc hoạt động liên tục trừ trường hợp không thể cho rằng Công ty sẽ tiếp tục hoạt động.</v>
          </cell>
          <cell r="AL131">
            <v>0</v>
          </cell>
          <cell r="AM131">
            <v>0</v>
          </cell>
          <cell r="AN131">
            <v>0</v>
          </cell>
          <cell r="AO131">
            <v>0</v>
          </cell>
          <cell r="AP131">
            <v>0</v>
          </cell>
          <cell r="AQ131">
            <v>0</v>
          </cell>
          <cell r="AR131">
            <v>0</v>
          </cell>
        </row>
        <row r="132">
          <cell r="Z132">
            <v>0</v>
          </cell>
          <cell r="AA132">
            <v>0</v>
          </cell>
          <cell r="AB132">
            <v>0</v>
          </cell>
          <cell r="AC132">
            <v>0</v>
          </cell>
          <cell r="AD132">
            <v>0</v>
          </cell>
          <cell r="AE132">
            <v>0</v>
          </cell>
          <cell r="AF132">
            <v>0</v>
          </cell>
          <cell r="AG132">
            <v>0</v>
          </cell>
          <cell r="AK132">
            <v>0</v>
          </cell>
          <cell r="AL132">
            <v>0</v>
          </cell>
          <cell r="AM132">
            <v>0</v>
          </cell>
          <cell r="AN132">
            <v>0</v>
          </cell>
          <cell r="AO132">
            <v>0</v>
          </cell>
          <cell r="AP132">
            <v>0</v>
          </cell>
          <cell r="AQ132">
            <v>0</v>
          </cell>
          <cell r="AR132">
            <v>0</v>
          </cell>
        </row>
        <row r="134">
          <cell r="B134" t="str">
            <v>The Board of General Directors confirms that the Company has complied with the above requirements in preparing the Financial Statements.</v>
          </cell>
          <cell r="M134" t="str">
            <v>Ban Tổng Giám đốc cam kết rằng Công ty đã tuân thủ những yêu cầu nêu trên trong việc lập Báo cáo Tài chính.</v>
          </cell>
          <cell r="Y134" t="str">
            <v>The Board of General Directors confirms that the Company has complied with the above requirements in preparing the translated Financial Statements in VND.</v>
          </cell>
          <cell r="Z134">
            <v>0</v>
          </cell>
          <cell r="AA134">
            <v>0</v>
          </cell>
          <cell r="AB134">
            <v>0</v>
          </cell>
          <cell r="AC134">
            <v>0</v>
          </cell>
          <cell r="AD134">
            <v>0</v>
          </cell>
          <cell r="AE134">
            <v>0</v>
          </cell>
          <cell r="AF134">
            <v>0</v>
          </cell>
          <cell r="AG134">
            <v>0</v>
          </cell>
          <cell r="AJ134" t="str">
            <v>Ban Tổng Giám đốc cam kết rằng Công ty đã tuân thủ những yêu cầu nêu trên trong việc lập Báo cáo Tài chính chuyển đổi sang VND.</v>
          </cell>
          <cell r="AK134">
            <v>0</v>
          </cell>
          <cell r="AL134">
            <v>0</v>
          </cell>
          <cell r="AM134">
            <v>0</v>
          </cell>
          <cell r="AN134">
            <v>0</v>
          </cell>
          <cell r="AO134">
            <v>0</v>
          </cell>
          <cell r="AP134">
            <v>0</v>
          </cell>
          <cell r="AQ134">
            <v>0</v>
          </cell>
          <cell r="AR134">
            <v>0</v>
          </cell>
        </row>
        <row r="135">
          <cell r="Y135">
            <v>0</v>
          </cell>
          <cell r="Z135">
            <v>0</v>
          </cell>
          <cell r="AA135">
            <v>0</v>
          </cell>
          <cell r="AB135">
            <v>0</v>
          </cell>
          <cell r="AC135">
            <v>0</v>
          </cell>
          <cell r="AD135">
            <v>0</v>
          </cell>
          <cell r="AE135">
            <v>0</v>
          </cell>
          <cell r="AF135">
            <v>0</v>
          </cell>
          <cell r="AG135">
            <v>0</v>
          </cell>
          <cell r="AJ135">
            <v>0</v>
          </cell>
          <cell r="AK135">
            <v>0</v>
          </cell>
          <cell r="AL135">
            <v>0</v>
          </cell>
          <cell r="AM135">
            <v>0</v>
          </cell>
          <cell r="AN135">
            <v>0</v>
          </cell>
          <cell r="AO135">
            <v>0</v>
          </cell>
          <cell r="AP135">
            <v>0</v>
          </cell>
          <cell r="AQ135">
            <v>0</v>
          </cell>
          <cell r="AR135">
            <v>0</v>
          </cell>
        </row>
        <row r="137">
          <cell r="B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M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Y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Z137">
            <v>0</v>
          </cell>
          <cell r="AA137">
            <v>0</v>
          </cell>
          <cell r="AB137">
            <v>0</v>
          </cell>
          <cell r="AC137">
            <v>0</v>
          </cell>
          <cell r="AD137">
            <v>0</v>
          </cell>
          <cell r="AE137">
            <v>0</v>
          </cell>
          <cell r="AF137">
            <v>0</v>
          </cell>
          <cell r="AG137">
            <v>0</v>
          </cell>
          <cell r="AJ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AK137">
            <v>0</v>
          </cell>
          <cell r="AL137">
            <v>0</v>
          </cell>
          <cell r="AM137">
            <v>0</v>
          </cell>
          <cell r="AN137">
            <v>0</v>
          </cell>
          <cell r="AO137">
            <v>0</v>
          </cell>
          <cell r="AP137">
            <v>0</v>
          </cell>
          <cell r="AQ137">
            <v>0</v>
          </cell>
          <cell r="AR137">
            <v>0</v>
          </cell>
        </row>
        <row r="138">
          <cell r="Y138">
            <v>0</v>
          </cell>
          <cell r="Z138">
            <v>0</v>
          </cell>
          <cell r="AA138">
            <v>0</v>
          </cell>
          <cell r="AB138">
            <v>0</v>
          </cell>
          <cell r="AC138">
            <v>0</v>
          </cell>
          <cell r="AD138">
            <v>0</v>
          </cell>
          <cell r="AE138">
            <v>0</v>
          </cell>
          <cell r="AF138">
            <v>0</v>
          </cell>
          <cell r="AG138">
            <v>0</v>
          </cell>
          <cell r="AJ138">
            <v>0</v>
          </cell>
          <cell r="AK138">
            <v>0</v>
          </cell>
          <cell r="AL138">
            <v>0</v>
          </cell>
          <cell r="AM138">
            <v>0</v>
          </cell>
          <cell r="AN138">
            <v>0</v>
          </cell>
          <cell r="AO138">
            <v>0</v>
          </cell>
          <cell r="AP138">
            <v>0</v>
          </cell>
          <cell r="AQ138">
            <v>0</v>
          </cell>
          <cell r="AR138">
            <v>0</v>
          </cell>
        </row>
        <row r="139">
          <cell r="Y139">
            <v>0</v>
          </cell>
          <cell r="Z139">
            <v>0</v>
          </cell>
          <cell r="AA139">
            <v>0</v>
          </cell>
          <cell r="AB139">
            <v>0</v>
          </cell>
          <cell r="AC139">
            <v>0</v>
          </cell>
          <cell r="AD139">
            <v>0</v>
          </cell>
          <cell r="AE139">
            <v>0</v>
          </cell>
          <cell r="AF139">
            <v>0</v>
          </cell>
          <cell r="AG139">
            <v>0</v>
          </cell>
          <cell r="AJ139">
            <v>0</v>
          </cell>
          <cell r="AK139">
            <v>0</v>
          </cell>
          <cell r="AL139">
            <v>0</v>
          </cell>
          <cell r="AM139">
            <v>0</v>
          </cell>
          <cell r="AN139">
            <v>0</v>
          </cell>
          <cell r="AO139">
            <v>0</v>
          </cell>
          <cell r="AP139">
            <v>0</v>
          </cell>
          <cell r="AQ139">
            <v>0</v>
          </cell>
          <cell r="AR139">
            <v>0</v>
          </cell>
        </row>
        <row r="140">
          <cell r="Y140">
            <v>0</v>
          </cell>
          <cell r="Z140">
            <v>0</v>
          </cell>
          <cell r="AA140">
            <v>0</v>
          </cell>
          <cell r="AB140">
            <v>0</v>
          </cell>
          <cell r="AC140">
            <v>0</v>
          </cell>
          <cell r="AD140">
            <v>0</v>
          </cell>
          <cell r="AE140">
            <v>0</v>
          </cell>
          <cell r="AF140">
            <v>0</v>
          </cell>
          <cell r="AG140">
            <v>0</v>
          </cell>
          <cell r="AJ140">
            <v>0</v>
          </cell>
          <cell r="AK140">
            <v>0</v>
          </cell>
          <cell r="AL140">
            <v>0</v>
          </cell>
          <cell r="AM140">
            <v>0</v>
          </cell>
          <cell r="AN140">
            <v>0</v>
          </cell>
          <cell r="AO140">
            <v>0</v>
          </cell>
          <cell r="AP140">
            <v>0</v>
          </cell>
          <cell r="AQ140">
            <v>0</v>
          </cell>
          <cell r="AR140">
            <v>0</v>
          </cell>
        </row>
        <row r="141">
          <cell r="Y141">
            <v>0</v>
          </cell>
          <cell r="Z141">
            <v>0</v>
          </cell>
          <cell r="AA141">
            <v>0</v>
          </cell>
          <cell r="AB141">
            <v>0</v>
          </cell>
          <cell r="AC141">
            <v>0</v>
          </cell>
          <cell r="AD141">
            <v>0</v>
          </cell>
          <cell r="AE141">
            <v>0</v>
          </cell>
          <cell r="AF141">
            <v>0</v>
          </cell>
          <cell r="AG141">
            <v>0</v>
          </cell>
          <cell r="AJ141">
            <v>0</v>
          </cell>
          <cell r="AK141">
            <v>0</v>
          </cell>
          <cell r="AL141">
            <v>0</v>
          </cell>
          <cell r="AM141">
            <v>0</v>
          </cell>
          <cell r="AN141">
            <v>0</v>
          </cell>
          <cell r="AO141">
            <v>0</v>
          </cell>
          <cell r="AP141">
            <v>0</v>
          </cell>
          <cell r="AQ141">
            <v>0</v>
          </cell>
          <cell r="AR141">
            <v>0</v>
          </cell>
        </row>
        <row r="143">
          <cell r="B143" t="str">
            <v>Pursuant to the Letter of Attorney of legal representative of Crowe Vietnam Master Binder Template v1.1 issued on xx xxx 20xx, the person stated hereunder is appointed to approve and sign on the Financial Statements for the year ended 31 December 2023.</v>
          </cell>
          <cell r="M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Y143" t="str">
            <v>Pursuant to the Letter of Attorney of legal representative of Crowe Vietnam Master Binder Template v1.1 issued on xx xxx 20xx, the person stated hereunder is appointed to approve and sign on the Financial Statements for the year ended 31 December 2023.</v>
          </cell>
          <cell r="Z143">
            <v>0</v>
          </cell>
          <cell r="AA143">
            <v>0</v>
          </cell>
          <cell r="AB143">
            <v>0</v>
          </cell>
          <cell r="AC143">
            <v>0</v>
          </cell>
          <cell r="AD143">
            <v>0</v>
          </cell>
          <cell r="AE143">
            <v>0</v>
          </cell>
          <cell r="AF143">
            <v>0</v>
          </cell>
          <cell r="AG143">
            <v>0</v>
          </cell>
          <cell r="AJ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AK143">
            <v>0</v>
          </cell>
          <cell r="AL143">
            <v>0</v>
          </cell>
          <cell r="AM143">
            <v>0</v>
          </cell>
          <cell r="AN143">
            <v>0</v>
          </cell>
          <cell r="AO143">
            <v>0</v>
          </cell>
          <cell r="AP143">
            <v>0</v>
          </cell>
          <cell r="AQ143">
            <v>0</v>
          </cell>
          <cell r="AR143">
            <v>0</v>
          </cell>
        </row>
        <row r="144">
          <cell r="Y144">
            <v>0</v>
          </cell>
          <cell r="Z144">
            <v>0</v>
          </cell>
          <cell r="AA144">
            <v>0</v>
          </cell>
          <cell r="AB144">
            <v>0</v>
          </cell>
          <cell r="AC144">
            <v>0</v>
          </cell>
          <cell r="AD144">
            <v>0</v>
          </cell>
          <cell r="AE144">
            <v>0</v>
          </cell>
          <cell r="AF144">
            <v>0</v>
          </cell>
          <cell r="AG144">
            <v>0</v>
          </cell>
          <cell r="AJ144">
            <v>0</v>
          </cell>
          <cell r="AK144">
            <v>0</v>
          </cell>
          <cell r="AL144">
            <v>0</v>
          </cell>
          <cell r="AM144">
            <v>0</v>
          </cell>
          <cell r="AN144">
            <v>0</v>
          </cell>
          <cell r="AO144">
            <v>0</v>
          </cell>
          <cell r="AP144">
            <v>0</v>
          </cell>
          <cell r="AQ144">
            <v>0</v>
          </cell>
          <cell r="AR144">
            <v>0</v>
          </cell>
        </row>
        <row r="145">
          <cell r="Y145">
            <v>0</v>
          </cell>
          <cell r="Z145">
            <v>0</v>
          </cell>
          <cell r="AA145">
            <v>0</v>
          </cell>
          <cell r="AB145">
            <v>0</v>
          </cell>
          <cell r="AC145">
            <v>0</v>
          </cell>
          <cell r="AD145">
            <v>0</v>
          </cell>
          <cell r="AE145">
            <v>0</v>
          </cell>
          <cell r="AF145">
            <v>0</v>
          </cell>
          <cell r="AG145">
            <v>0</v>
          </cell>
          <cell r="AJ145">
            <v>0</v>
          </cell>
          <cell r="AK145">
            <v>0</v>
          </cell>
          <cell r="AL145">
            <v>0</v>
          </cell>
          <cell r="AM145">
            <v>0</v>
          </cell>
          <cell r="AN145">
            <v>0</v>
          </cell>
          <cell r="AO145">
            <v>0</v>
          </cell>
          <cell r="AP145">
            <v>0</v>
          </cell>
          <cell r="AQ145">
            <v>0</v>
          </cell>
          <cell r="AR145">
            <v>0</v>
          </cell>
        </row>
        <row r="147">
          <cell r="B147" t="str">
            <v xml:space="preserve"> </v>
          </cell>
          <cell r="C147" t="str">
            <v>Full name:</v>
          </cell>
          <cell r="E147" t="str">
            <v xml:space="preserve">Def Ghd </v>
          </cell>
          <cell r="M147" t="str">
            <v xml:space="preserve"> </v>
          </cell>
          <cell r="N147" t="str">
            <v>Họ và tên:</v>
          </cell>
          <cell r="P147" t="str">
            <v>Def Ghd</v>
          </cell>
          <cell r="Y147" t="str">
            <v xml:space="preserve"> </v>
          </cell>
          <cell r="Z147" t="str">
            <v>Full name:</v>
          </cell>
          <cell r="AB147" t="str">
            <v xml:space="preserve">Def Ghd </v>
          </cell>
          <cell r="AJ147" t="str">
            <v xml:space="preserve"> </v>
          </cell>
          <cell r="AK147" t="str">
            <v>Họ và tên:</v>
          </cell>
          <cell r="AM147" t="str">
            <v>Def Ghd</v>
          </cell>
        </row>
        <row r="148">
          <cell r="B148" t="str">
            <v xml:space="preserve"> </v>
          </cell>
          <cell r="C148" t="str">
            <v>Nationality:</v>
          </cell>
          <cell r="E148" t="str">
            <v>Xxxxx</v>
          </cell>
          <cell r="M148" t="str">
            <v xml:space="preserve"> </v>
          </cell>
          <cell r="N148" t="str">
            <v>Quốc tịch:</v>
          </cell>
          <cell r="P148" t="str">
            <v>Xxxxx</v>
          </cell>
          <cell r="Y148" t="str">
            <v xml:space="preserve"> </v>
          </cell>
          <cell r="Z148" t="str">
            <v>Nationality:</v>
          </cell>
          <cell r="AB148" t="str">
            <v>Xxxxx</v>
          </cell>
          <cell r="AJ148" t="str">
            <v xml:space="preserve"> </v>
          </cell>
          <cell r="AK148" t="str">
            <v>Quốc tịch:</v>
          </cell>
          <cell r="AM148" t="str">
            <v>Xxxxx</v>
          </cell>
        </row>
        <row r="149">
          <cell r="B149" t="str">
            <v xml:space="preserve"> </v>
          </cell>
          <cell r="C149" t="str">
            <v>Passport No./ Identity card No.:</v>
          </cell>
          <cell r="E149" t="str">
            <v>TKxxxx dated xx xxxxx 20xx in xxx</v>
          </cell>
          <cell r="M149" t="str">
            <v xml:space="preserve"> </v>
          </cell>
          <cell r="N149" t="str">
            <v>Hộ chiếu/CMND số:</v>
          </cell>
          <cell r="P149" t="str">
            <v>TKxxx cấp ngày xx tháng xx năm xxxx tại xxx</v>
          </cell>
          <cell r="Y149" t="str">
            <v xml:space="preserve"> </v>
          </cell>
          <cell r="Z149" t="str">
            <v>Passport No./ Identity card No.:</v>
          </cell>
          <cell r="AB149" t="str">
            <v>TKxxxx dated xx xxxxx 20xx in xxx</v>
          </cell>
          <cell r="AJ149" t="str">
            <v xml:space="preserve"> </v>
          </cell>
          <cell r="AK149" t="str">
            <v>Hộ chiếu/CMND số:</v>
          </cell>
          <cell r="AM149" t="str">
            <v>TKxxx cấp ngày xx tháng xx năm xxxx tại xxx</v>
          </cell>
        </row>
        <row r="150">
          <cell r="B150" t="str">
            <v xml:space="preserve"> </v>
          </cell>
          <cell r="C150" t="str">
            <v>Position:</v>
          </cell>
          <cell r="E150" t="str">
            <v>Deputy General Director</v>
          </cell>
          <cell r="M150" t="str">
            <v xml:space="preserve"> </v>
          </cell>
          <cell r="N150" t="str">
            <v>Chức vụ:</v>
          </cell>
          <cell r="P150" t="str">
            <v>Phó Tổng Giám đốc</v>
          </cell>
          <cell r="Y150" t="str">
            <v xml:space="preserve"> </v>
          </cell>
          <cell r="Z150" t="str">
            <v>Position:</v>
          </cell>
          <cell r="AB150" t="str">
            <v>Deputy General Director</v>
          </cell>
          <cell r="AJ150" t="str">
            <v xml:space="preserve"> </v>
          </cell>
          <cell r="AK150" t="str">
            <v>Chức vụ:</v>
          </cell>
          <cell r="AM150" t="str">
            <v>Phó Tổng Giám đốc</v>
          </cell>
        </row>
        <row r="153">
          <cell r="B153" t="str">
            <v>Crowe Vietnam Master Binder Template v1.1</v>
          </cell>
          <cell r="M153" t="str">
            <v>Crowe Vietnam Master Binder Template v1.1</v>
          </cell>
          <cell r="Y153" t="str">
            <v>Crowe Vietnam Master Binder Template v1.1</v>
          </cell>
          <cell r="AJ153" t="str">
            <v>Crowe Vietnam Master Binder Template v1.1</v>
          </cell>
        </row>
        <row r="155">
          <cell r="B155" t="str">
            <v>REPORT OF THE BOARD OF GENERAL DIRECTORS (continued)</v>
          </cell>
          <cell r="M155" t="str">
            <v>BÁO CÁO CỦA BAN TỔNG GIÁM ĐỐC (tiếp theo)</v>
          </cell>
          <cell r="Y155" t="str">
            <v>REPORT OF THE BOARD OF GENERAL DIRECTORS (continued)</v>
          </cell>
          <cell r="AJ155" t="str">
            <v>BÁO CÁO CỦA BAN TỔNG GIÁM ĐỐC (tiếp theo)</v>
          </cell>
        </row>
        <row r="157">
          <cell r="B157" t="str">
            <v>APPROVAL OF THE FINANCIAL STATEMENTS</v>
          </cell>
          <cell r="M157" t="str">
            <v>PHÊ DUYỆT BÁO CÁO TÀI CHÍNH</v>
          </cell>
          <cell r="Y157" t="str">
            <v>APPROVAL OF THE TRANSLATED FINANCIAL STATEMENTS IN VND</v>
          </cell>
          <cell r="AJ157" t="str">
            <v>PHÊ DUYỆT BÁO CÁO TÀI CHÍNH CHUYỂN ĐỔI SANG VND</v>
          </cell>
        </row>
        <row r="159">
          <cell r="B159" t="str">
            <v>We hereby approve the accompanying Financial Statements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M159" t="str">
            <v>Chúng tôi phê duyệt Báo cáo Tài chính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v>
          </cell>
          <cell r="Y159" t="str">
            <v>We hereby approve the accompanying translated Financial Statements in VND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Z159">
            <v>0</v>
          </cell>
          <cell r="AA159">
            <v>0</v>
          </cell>
          <cell r="AB159">
            <v>0</v>
          </cell>
          <cell r="AC159">
            <v>0</v>
          </cell>
          <cell r="AD159">
            <v>0</v>
          </cell>
          <cell r="AE159">
            <v>0</v>
          </cell>
          <cell r="AF159">
            <v>0</v>
          </cell>
          <cell r="AG159">
            <v>0</v>
          </cell>
          <cell r="AJ159" t="str">
            <v>Chúng tôi phê duyệt Báo cáo Tài chính chuyển đổi sang VND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 chuyển đổi sang VND.</v>
          </cell>
          <cell r="AK159">
            <v>0</v>
          </cell>
          <cell r="AL159">
            <v>0</v>
          </cell>
          <cell r="AM159">
            <v>0</v>
          </cell>
          <cell r="AN159">
            <v>0</v>
          </cell>
          <cell r="AO159">
            <v>0</v>
          </cell>
          <cell r="AP159">
            <v>0</v>
          </cell>
          <cell r="AQ159">
            <v>0</v>
          </cell>
          <cell r="AR159">
            <v>0</v>
          </cell>
        </row>
        <row r="160">
          <cell r="Y160">
            <v>0</v>
          </cell>
          <cell r="Z160">
            <v>0</v>
          </cell>
          <cell r="AA160">
            <v>0</v>
          </cell>
          <cell r="AB160">
            <v>0</v>
          </cell>
          <cell r="AC160">
            <v>0</v>
          </cell>
          <cell r="AD160">
            <v>0</v>
          </cell>
          <cell r="AE160">
            <v>0</v>
          </cell>
          <cell r="AF160">
            <v>0</v>
          </cell>
          <cell r="AG160">
            <v>0</v>
          </cell>
          <cell r="AJ160">
            <v>0</v>
          </cell>
          <cell r="AK160">
            <v>0</v>
          </cell>
          <cell r="AL160">
            <v>0</v>
          </cell>
          <cell r="AM160">
            <v>0</v>
          </cell>
          <cell r="AN160">
            <v>0</v>
          </cell>
          <cell r="AO160">
            <v>0</v>
          </cell>
          <cell r="AP160">
            <v>0</v>
          </cell>
          <cell r="AQ160">
            <v>0</v>
          </cell>
          <cell r="AR160">
            <v>0</v>
          </cell>
        </row>
        <row r="161">
          <cell r="Y161">
            <v>0</v>
          </cell>
          <cell r="Z161">
            <v>0</v>
          </cell>
          <cell r="AA161">
            <v>0</v>
          </cell>
          <cell r="AB161">
            <v>0</v>
          </cell>
          <cell r="AC161">
            <v>0</v>
          </cell>
          <cell r="AD161">
            <v>0</v>
          </cell>
          <cell r="AE161">
            <v>0</v>
          </cell>
          <cell r="AF161">
            <v>0</v>
          </cell>
          <cell r="AG161">
            <v>0</v>
          </cell>
          <cell r="AJ161">
            <v>0</v>
          </cell>
          <cell r="AK161">
            <v>0</v>
          </cell>
          <cell r="AL161">
            <v>0</v>
          </cell>
          <cell r="AM161">
            <v>0</v>
          </cell>
          <cell r="AN161">
            <v>0</v>
          </cell>
          <cell r="AO161">
            <v>0</v>
          </cell>
          <cell r="AP161">
            <v>0</v>
          </cell>
          <cell r="AQ161">
            <v>0</v>
          </cell>
          <cell r="AR161">
            <v>0</v>
          </cell>
        </row>
        <row r="162">
          <cell r="Y162">
            <v>0</v>
          </cell>
          <cell r="Z162">
            <v>0</v>
          </cell>
          <cell r="AA162">
            <v>0</v>
          </cell>
          <cell r="AB162">
            <v>0</v>
          </cell>
          <cell r="AC162">
            <v>0</v>
          </cell>
          <cell r="AD162">
            <v>0</v>
          </cell>
          <cell r="AE162">
            <v>0</v>
          </cell>
          <cell r="AF162">
            <v>0</v>
          </cell>
          <cell r="AG162">
            <v>0</v>
          </cell>
          <cell r="AJ162">
            <v>0</v>
          </cell>
          <cell r="AK162">
            <v>0</v>
          </cell>
          <cell r="AL162">
            <v>0</v>
          </cell>
          <cell r="AM162">
            <v>0</v>
          </cell>
          <cell r="AN162">
            <v>0</v>
          </cell>
          <cell r="AO162">
            <v>0</v>
          </cell>
          <cell r="AP162">
            <v>0</v>
          </cell>
          <cell r="AQ162">
            <v>0</v>
          </cell>
          <cell r="AR162">
            <v>0</v>
          </cell>
        </row>
        <row r="163">
          <cell r="Y163">
            <v>0</v>
          </cell>
          <cell r="Z163">
            <v>0</v>
          </cell>
          <cell r="AA163">
            <v>0</v>
          </cell>
          <cell r="AB163">
            <v>0</v>
          </cell>
          <cell r="AC163">
            <v>0</v>
          </cell>
          <cell r="AD163">
            <v>0</v>
          </cell>
          <cell r="AE163">
            <v>0</v>
          </cell>
          <cell r="AF163">
            <v>0</v>
          </cell>
          <cell r="AG163">
            <v>0</v>
          </cell>
          <cell r="AJ163">
            <v>0</v>
          </cell>
          <cell r="AK163">
            <v>0</v>
          </cell>
          <cell r="AL163">
            <v>0</v>
          </cell>
          <cell r="AM163">
            <v>0</v>
          </cell>
          <cell r="AN163">
            <v>0</v>
          </cell>
          <cell r="AO163">
            <v>0</v>
          </cell>
          <cell r="AP163">
            <v>0</v>
          </cell>
          <cell r="AQ163">
            <v>0</v>
          </cell>
          <cell r="AR163">
            <v>0</v>
          </cell>
        </row>
        <row r="165">
          <cell r="B165" t="str">
            <v>On behalf of the Board of General Directors</v>
          </cell>
          <cell r="M165" t="str">
            <v>Thay mặt Ban Tổng Giám đốc</v>
          </cell>
          <cell r="Y165" t="str">
            <v>On behalf of the Board of General Directors</v>
          </cell>
          <cell r="AJ165" t="str">
            <v>Thay mặt Ban Tổng Giám đốc</v>
          </cell>
        </row>
        <row r="172">
          <cell r="B172" t="str">
            <v>Kutagi</v>
          </cell>
          <cell r="M172" t="str">
            <v>Kutagi</v>
          </cell>
          <cell r="Y172" t="str">
            <v>Kutagi</v>
          </cell>
          <cell r="AJ172" t="str">
            <v>Kutagi</v>
          </cell>
        </row>
        <row r="173">
          <cell r="B173" t="str">
            <v>General Director</v>
          </cell>
          <cell r="M173" t="str">
            <v>Tổng Giám đốc</v>
          </cell>
          <cell r="Y173" t="str">
            <v>General Director</v>
          </cell>
          <cell r="AJ173" t="str">
            <v>Tổng Giám đốc</v>
          </cell>
        </row>
        <row r="175">
          <cell r="B175" t="str">
            <v>25 July 2023</v>
          </cell>
          <cell r="M175" t="str">
            <v>Ngày 25 tháng 07 năm 2023</v>
          </cell>
          <cell r="Y175" t="str">
            <v>25 July 2023</v>
          </cell>
          <cell r="AJ175" t="str">
            <v>Ngày 25 tháng 07 năm 2023</v>
          </cell>
        </row>
        <row r="185">
          <cell r="B185" t="str">
            <v>Reference No.: HN/2023xxxxx</v>
          </cell>
          <cell r="M185" t="str">
            <v>Số tham chiếu: HN/2023xxxxx</v>
          </cell>
          <cell r="Y185" t="str">
            <v>Reference No.: HN/2023xxxxx-E</v>
          </cell>
          <cell r="AJ185" t="str">
            <v>Số tham chiếu: HN/2023xxxxx-E</v>
          </cell>
        </row>
        <row r="189">
          <cell r="B189" t="str">
            <v>INDEPENDENT AUDITOR'S REPORT</v>
          </cell>
          <cell r="M189" t="str">
            <v>BÁO CÁO KIỂM TOÁN ĐỘC LẬP</v>
          </cell>
          <cell r="Y189" t="str">
            <v>INDEPENDENT AUDITOR'S REPORT</v>
          </cell>
          <cell r="AJ189" t="str">
            <v>BÁO CÁO KIỂM TOÁN ĐỘC LẬP</v>
          </cell>
        </row>
        <row r="192">
          <cell r="B192" t="str">
            <v>To:</v>
          </cell>
          <cell r="D192" t="str">
            <v>The Investors, the Members' Council/ the Board of Management/ and the Board of Directors</v>
          </cell>
          <cell r="M192" t="str">
            <v>Kính gửi:</v>
          </cell>
          <cell r="O192" t="str">
            <v>Nhà Đầu tư, Hội đồng Thành viên/ Hội đồng quản trị/ và Ban Giám đốc</v>
          </cell>
          <cell r="Y192" t="str">
            <v>To:</v>
          </cell>
          <cell r="AA192" t="str">
            <v>The Investors, the Members' Council/ the Board of Management/ and the Board of Directors</v>
          </cell>
          <cell r="AJ192" t="str">
            <v>Kính gửi:</v>
          </cell>
          <cell r="AL192" t="str">
            <v>Nhà Đầu tư, Hội đồng Thành viên/ Hội đồng quản trị/ và Ban Giám đốc</v>
          </cell>
        </row>
        <row r="193">
          <cell r="D193" t="str">
            <v>Crowe Vietnam Master Binder Template v1.1</v>
          </cell>
          <cell r="O193" t="str">
            <v>Crowe Vietnam Master Binder Template v1.1</v>
          </cell>
          <cell r="AA193" t="str">
            <v>Crowe Vietnam Master Binder Template v1.1</v>
          </cell>
          <cell r="AL193" t="str">
            <v>Crowe Vietnam Master Binder Template v1.1</v>
          </cell>
        </row>
        <row r="195">
          <cell r="B195" t="str">
            <v>Hanoi:</v>
          </cell>
          <cell r="M195" t="str">
            <v>Hanoi:</v>
          </cell>
          <cell r="Y195" t="str">
            <v>Hanoi:</v>
          </cell>
          <cell r="AJ195" t="str">
            <v>Hanoi:</v>
          </cell>
        </row>
        <row r="196">
          <cell r="B196" t="str">
            <v>We have audited the accompanying Financial Statements of Crowe Vietnam Master Binder Template v1.1 (“the Company”) dated 25 July 2023 as set out from page 05 to page 40, which comprise the Statement of Financial Position as at 31 December 2023, the Statement of Income and the Statement of Cash Flows for the year then ended and the explanatory Notes thereto.</v>
          </cell>
          <cell r="M196" t="str">
            <v>Chúng tôi đã kiểm toán Báo cáo Tài chính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cell r="Y196" t="str">
            <v>We have audited the accompanying translated Financial Statements in VND of Crowe Vietnam Master Binder Template v1.1 (“the Company”) dated 25 July 2023 as set out from page 05 to page 40, which comprises the Statement of Financial Position as at 31 December 2023, the Statement of Income and the Statement of Cash Flows for the year then ended and the explanatory Notes thereto.</v>
          </cell>
          <cell r="AJ196" t="str">
            <v>Chúng tôi đã kiểm toán Báo cáo Tài chính chuyển đổi sang VND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row>
        <row r="201">
          <cell r="B201" t="str">
            <v>HCM:</v>
          </cell>
          <cell r="M201" t="str">
            <v>HCM:</v>
          </cell>
          <cell r="Y201" t="str">
            <v>HCM:</v>
          </cell>
          <cell r="AJ201" t="str">
            <v>HCM:</v>
          </cell>
        </row>
        <row r="202">
          <cell r="B202" t="str">
            <v>We have audited the accompanying Financial Statements of Crowe Vietnam Master Binder Template v1.1 (“the Company”) dated 25 July 2023 as set out from page 05 to page 40, which comprise the Balance Sheet as at 31 December 2023, the Statement of Income and the Statement of Cash Flows for the year then ended and the explanatory Notes thereto.</v>
          </cell>
          <cell r="M202" t="str">
            <v>Chúng tôi đã kiểm toán Báo cáo Tài chính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cell r="Y202" t="str">
            <v>We have audited the accompanying translated Financial Statements in VND of Crowe Vietnam Master Binder Template v1.1 (“the Company”) dated 25 July 2023 as set out from page 05 to page 40, which comprises the Balance Sheet as at 31 December 2023, the Statement of Income and the Statement of Cash Flows for the year then ended and the explanatory Notes thereto.</v>
          </cell>
          <cell r="AJ202" t="str">
            <v>Chúng tôi đã kiểm toán Báo cáo Tài chính chuyển đổi sang VND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row>
        <row r="207">
          <cell r="B207" t="str">
            <v>The Board of General Directors' responsibility for the Financial Statements</v>
          </cell>
          <cell r="M207" t="str">
            <v>Trách nhiệm của Ban Tổng Giám đốc Công ty đối với Báo cáo Tài chính</v>
          </cell>
          <cell r="Y207" t="str">
            <v>The Board of General Directors' responsibility for the translated Financial Statements in VND</v>
          </cell>
          <cell r="AJ207" t="str">
            <v>Trách nhiệm của Ban Tổng Giám đốc Công ty đối với Báo cáo Tài chính chuyển đổi sang VND</v>
          </cell>
        </row>
        <row r="209">
          <cell r="B209" t="str">
            <v>The Board of General Directors of the Company is responsible for the preparation and fair presentation of the Financial Statements in accordance with the Vietnamese Accounting Standards, the Vietnamese Corporate Accounting System and the legal requirements relevant to financial reporting, and for such internal control as the Board of General Directors determines is necessary to enable the preparation of Financial Statements that are free from material misstatement, whether due to fraud or error.</v>
          </cell>
          <cell r="M209" t="str">
            <v>Ban Tổng Giám đốc của Công ty chịu trách nhiệm lập và trình bày trung thực và hợp lý Báo cáo Tài chính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không có sai sót trọng yếu do gian lận hoặc nhầm lẫn.</v>
          </cell>
          <cell r="Y209" t="str">
            <v>The Board of General Directors of the Company is responsible for the preparation and fair presentation of the translated Financial Statements in VND in accordance with the Vietnamese Accounting Standards, the Vietnamese Corporate Accounting System and the legal requirements relevant to financial reporting, and for such internal control as the Board of General Directors determines is necessary to enable the preparation of translated Financial Statements in VND that are free from material misstatement, whether due to fraud or error.</v>
          </cell>
          <cell r="AJ209" t="str">
            <v>Ban Tổng Giám đốc của Công ty chịu trách nhiệm lập và trình bày trung thực và hợp lý Báo cáo Tài chính chuyển đổi sang VND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chuyển đổi sang VND không có sai sót trọng yếu do gian lận hoặc nhầm lẫn.</v>
          </cell>
        </row>
        <row r="216">
          <cell r="B216" t="str">
            <v xml:space="preserve">Auditor's responsibility </v>
          </cell>
          <cell r="M216" t="str">
            <v>Trách nhiệm của Kiểm toán viên</v>
          </cell>
          <cell r="Y216" t="str">
            <v xml:space="preserve">Auditor's responsibility </v>
          </cell>
          <cell r="AJ216" t="str">
            <v>Trách nhiệm của Kiểm toán viên</v>
          </cell>
        </row>
        <row r="218">
          <cell r="B218" t="str">
            <v xml:space="preserve">Our responsibility is to express an opinion on these Financial Statements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M218" t="str">
            <v xml:space="preserve">Trách nhiệm của chúng tôi là đưa ra ý kiến về Báo cáo Tài chính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cell r="Y218" t="str">
            <v xml:space="preserve">Our responsibility is to express an opinion on these translated Financial Statements in VND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AJ218" t="str">
            <v xml:space="preserve">Trách nhiệm của chúng tôi là đưa ra ý kiến về Báo cáo Tài chính chuyển đổi sang VND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row>
        <row r="224">
          <cell r="B224" t="str">
            <v xml:space="preserve">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Company’s preparation and fair presentation of the Financial Statements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Financial Statements. </v>
          </cell>
          <cell r="M224" t="str">
            <v>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v>
          </cell>
          <cell r="Y224" t="str">
            <v>An audit involves performing procedures to obtain audit evidence about the amounts and disclosures in the translated Financial Statements in VND. The procedures selected depend on the auditor’s judgment, including the assessment of the risks of material misstatement of the translated Financial Statements in VND, whether due to fraud or error. In making those risk assessments, the auditor considers internal control relevant to the Company’s preparation and fair presentation of the translated Financial Statements in VND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translated Financial Statements in VND.</v>
          </cell>
          <cell r="AJ224" t="str">
            <v>Công việc kiểm toán bao gồm thực hiện các thủ tục nhằm thu thập các bằng chứng kiểm toán về các số liệu và thuyết minh trên Báo cáo Tài chính chuyển đổi sang VND. Các thủ tục kiểm toán được lựa chọn dựa trên xét đoán của kiểm toán viên, bao gồm đánh giá rủi ro có sai sót trọng yếu trong Báo cáo Tài chính chuyển đổi sang VND do gian lận hoặc nhầm lẫn. Khi thực hiện đánh giá các rủi ro này, kiểm toán viên đã xem xét kiểm soát nội bộ của Công ty liên quan đến việc lập và trình bày Báo cáo Tài chính chuyển đổi sang VND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 chuyển đổi sang VND.</v>
          </cell>
        </row>
        <row r="235">
          <cell r="B235" t="str">
            <v>We believe that the audit evidence we have obtained is sufficient and appropriate to provide a basis for our audit opinion.</v>
          </cell>
          <cell r="M235" t="str">
            <v>Chúng tôi tin tưởng rằng các bằng chứng kiểm toán mà chúng tôi đã thu thập được là đầy đủ và thích hợp làm cơ sở cho ý kiến kiểm toán của chúng tôi.</v>
          </cell>
          <cell r="Y235" t="str">
            <v>We believe that the audit evidence we have obtained is sufficient and appropriate to provide a basis for our audit opinion.</v>
          </cell>
          <cell r="AJ235" t="str">
            <v>Chúng tôi tin tưởng rằng các bằng chứng kiểm toán mà chúng tôi đã thu thập được là đầy đủ và thích hợp làm cơ sở cho ý kiến kiểm toán của chúng tôi.</v>
          </cell>
        </row>
        <row r="243">
          <cell r="A243">
            <v>3</v>
          </cell>
          <cell r="B243" t="str">
            <v xml:space="preserve">Basis for Disclaimer of Opinion </v>
          </cell>
          <cell r="M243" t="str">
            <v xml:space="preserve">Cơ sở của việc từ chối đưa ra ý kiến </v>
          </cell>
          <cell r="X243">
            <v>3</v>
          </cell>
          <cell r="Y243" t="str">
            <v xml:space="preserve">Basis for Disclaimer of Opinion </v>
          </cell>
          <cell r="AJ243" t="str">
            <v xml:space="preserve">Cơ sở của việc từ chối đưa ra ý kiến </v>
          </cell>
        </row>
        <row r="245">
          <cell r="B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M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cell r="Y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AJ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row>
        <row r="254">
          <cell r="B254" t="str">
            <v xml:space="preserve">Disclaimer of Opinion </v>
          </cell>
          <cell r="M254" t="str">
            <v xml:space="preserve">Từ chối đưa ra ý kiến </v>
          </cell>
          <cell r="Y254" t="str">
            <v xml:space="preserve">Disclaimer of Opinion </v>
          </cell>
          <cell r="AJ254" t="str">
            <v xml:space="preserve">Từ chối đưa ra ý kiến </v>
          </cell>
        </row>
        <row r="256">
          <cell r="B256" t="str">
            <v>Because of the significance of the matter described in the Basis for Disclaimer of Opinion paragraph, we have not been able to obtain sufficient appropriate audit evidence to provide a basis for an audit opinion. Accordingly, we do not express an opinion on the Financial Statements.</v>
          </cell>
          <cell r="M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đính kèm. </v>
          </cell>
          <cell r="Y256" t="str">
            <v>Because of the significance of the matter described in the Basis for Disclaimer of Opinion paragraph, we have not been able to obtain sufficient appropriate audit evidence to provide a basis for an audit opinion. Accordingly, we do not express an opinion on the translated Financial Statements in VND.</v>
          </cell>
          <cell r="AJ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chuyển đổi sang VND đính kèm. </v>
          </cell>
        </row>
        <row r="264">
          <cell r="A264" t="str">
            <v>x</v>
          </cell>
          <cell r="B264" t="str">
            <v/>
          </cell>
          <cell r="M264" t="str">
            <v/>
          </cell>
          <cell r="X264" t="str">
            <v/>
          </cell>
          <cell r="Y264" t="str">
            <v/>
          </cell>
          <cell r="AJ264" t="str">
            <v/>
          </cell>
        </row>
        <row r="266">
          <cell r="B266" t="str">
            <v/>
          </cell>
          <cell r="M266" t="str">
            <v/>
          </cell>
          <cell r="Y266" t="str">
            <v/>
          </cell>
          <cell r="AJ266" t="str">
            <v/>
          </cell>
        </row>
        <row r="273">
          <cell r="B273" t="str">
            <v/>
          </cell>
          <cell r="Y273" t="str">
            <v/>
          </cell>
        </row>
        <row r="274">
          <cell r="A274" t="str">
            <v/>
          </cell>
          <cell r="B274" t="str">
            <v>Other matter</v>
          </cell>
          <cell r="M274" t="str">
            <v>Vấn đề khác</v>
          </cell>
          <cell r="X274" t="str">
            <v/>
          </cell>
          <cell r="Y274" t="str">
            <v>Other matter</v>
          </cell>
          <cell r="AJ274" t="str">
            <v>Vấn đề khác</v>
          </cell>
        </row>
        <row r="276">
          <cell r="B276" t="str">
            <v>The Financial Statements of the Company for the year ended 31 December 2016, were audited by another auditor, who expressed an unqualified opinion on those statements on 26 March 2017.</v>
          </cell>
          <cell r="M276" t="str">
            <v>Báo cáo Tài chính của Công ty cho năm tài chính kết thúc ngày 31 tháng 12 năm 2016 đã được doanh nghiệp kiểm toán khác kiểm toán và đưa ra ý kiến chấp nhận toàn phần đối với Báo cáo Tài chính đó tại ngày 26 tháng 03 năm 2017.</v>
          </cell>
          <cell r="Y276" t="str">
            <v>The translated Financial Statements in VND of the Company for the year ended 31 December 2016, were audited by another auditor, who expressed an unqualified opinion on those statements on 26 March 2017.</v>
          </cell>
          <cell r="AJ276" t="str">
            <v>Báo cáo Tài chính chuyển đổi sang VND của Công ty cho năm tài chính kết thúc ngày 31 tháng 12 năm 2016 đã được doanh nghiệp kiểm toán khác kiểm toán và đưa ra ý kiến chấp nhận toàn phần đối với Báo cáo Tài chính đó tại ngày 26 tháng 03 năm 2017.</v>
          </cell>
        </row>
        <row r="281">
          <cell r="B281" t="str">
            <v>Crowe Vietnam Co., Ltd</v>
          </cell>
          <cell r="M281" t="str">
            <v>Công ty TNHH Crowe Việt Nam</v>
          </cell>
          <cell r="Y281" t="str">
            <v>Crowe Vietnam Co., Ltd</v>
          </cell>
          <cell r="AJ281" t="str">
            <v>Công ty TNHH Crowe Việt Nam</v>
          </cell>
        </row>
        <row r="282">
          <cell r="B282" t="str">
            <v>Member Crowe Global</v>
          </cell>
          <cell r="M282" t="str">
            <v>Thành viên Hãng Crowe Global</v>
          </cell>
        </row>
        <row r="284">
          <cell r="B284" t="str">
            <v>The above opinion does not take into account following outstanding items:
- List of agreed adjustment entries
- Representation letter
- Confirmation letters
- Etc</v>
          </cell>
          <cell r="M284" t="str">
            <v>Ý kiến kiểm toán nêu trên chưa xét đến ảnh hưởng của các vấn đề sau đây:
- Danh sách bút toán điều chỉnh cuối cùng
- Thư giải trình của Ban giám đốc
- Thư xác nhận
- V.v…</v>
          </cell>
          <cell r="Y284" t="str">
            <v>The above opinion does not take into account following outstanding items:
- List of agreed adjustment entries
- Representation letter
- Confirmation letters
- Etc</v>
          </cell>
          <cell r="AJ284" t="str">
            <v>Ý kiến kiểm toán nêu trên chưa xét đến ảnh hưởng của các vấn đề sau đây:
- Danh sách bút toán điều chỉnh cuối cùng
- Thư giải trình của Ban giám đốc
- Thư xác nhận
- V.v…</v>
          </cell>
        </row>
        <row r="295">
          <cell r="B295" t="str">
            <v>Le Thi Nga</v>
          </cell>
          <cell r="H295" t="str">
            <v>Vu Dinh Thiem</v>
          </cell>
          <cell r="M295" t="str">
            <v>Lê Thị Nga</v>
          </cell>
          <cell r="S295" t="str">
            <v>Vũ Đình Thiêm</v>
          </cell>
          <cell r="Y295" t="str">
            <v>Le Thi Nga</v>
          </cell>
          <cell r="AE295" t="str">
            <v>Vu Dinh Thiem</v>
          </cell>
          <cell r="AJ295" t="str">
            <v>Lê Thị Nga</v>
          </cell>
          <cell r="AP295" t="str">
            <v>Vũ Đình Thiêm</v>
          </cell>
        </row>
        <row r="296">
          <cell r="B296" t="str">
            <v>Deputy General Director</v>
          </cell>
          <cell r="H296" t="str">
            <v>Auditor</v>
          </cell>
          <cell r="M296" t="str">
            <v>Phó Tổng Giám đốc</v>
          </cell>
          <cell r="S296" t="str">
            <v>Kiểm toán viên</v>
          </cell>
          <cell r="Y296" t="str">
            <v>Deputy General Director</v>
          </cell>
          <cell r="AE296" t="str">
            <v>Auditor</v>
          </cell>
          <cell r="AJ296" t="str">
            <v>Phó Tổng Giám đốc</v>
          </cell>
          <cell r="AP296" t="str">
            <v>Kiểm toán viên</v>
          </cell>
        </row>
        <row r="297">
          <cell r="B297" t="str">
            <v>Certificate No. 3308-2025-172-1</v>
          </cell>
          <cell r="H297" t="str">
            <v>Certificate No. 2764-2020-172-1</v>
          </cell>
          <cell r="M297" t="str">
            <v>Giấy CN ĐKHN kiểm toán</v>
          </cell>
          <cell r="S297" t="str">
            <v>Giấy CN ĐKHN kiểm toán</v>
          </cell>
          <cell r="Y297" t="str">
            <v>Certificate No. 3308-2025-172-1</v>
          </cell>
          <cell r="AE297" t="str">
            <v>Certificate No. 2764-2020-172-1</v>
          </cell>
          <cell r="AJ297" t="str">
            <v>Giấy CN ĐKHN kiểm toán</v>
          </cell>
          <cell r="AP297" t="str">
            <v>Giấy CN ĐKHN kiểm toán</v>
          </cell>
        </row>
        <row r="298">
          <cell r="M298" t="str">
            <v>Số: 3308-2025-172-1</v>
          </cell>
          <cell r="S298" t="str">
            <v>Số: 2764-2020-172-1</v>
          </cell>
          <cell r="AJ298" t="str">
            <v>Số: 3308-2025-172-1</v>
          </cell>
          <cell r="AP298" t="str">
            <v>Số: 2764-2020-172-1</v>
          </cell>
        </row>
        <row r="300">
          <cell r="B300" t="str">
            <v>Hanoi, Vietnam</v>
          </cell>
          <cell r="M300" t="str">
            <v>Thành phố Hà Nội, Việt Nam</v>
          </cell>
          <cell r="Y300" t="str">
            <v>Hanoi City, Vietnam</v>
          </cell>
          <cell r="AJ300" t="str">
            <v>Thành phố Hà Nội, Việt Nam</v>
          </cell>
        </row>
        <row r="301">
          <cell r="B301" t="str">
            <v>25 July 2023</v>
          </cell>
          <cell r="M301" t="str">
            <v>Ngày 25 tháng 07 năm 2023</v>
          </cell>
          <cell r="Y301" t="str">
            <v>25 July 2023</v>
          </cell>
          <cell r="AJ301" t="str">
            <v>Ngày 25 tháng 07 năm 2023</v>
          </cell>
        </row>
      </sheetData>
      <sheetData sheetId="5">
        <row r="5">
          <cell r="C5" t="str">
            <v>Crowe Vietnam Master Binder Template v1.1</v>
          </cell>
          <cell r="H5" t="str">
            <v>B01-DN</v>
          </cell>
          <cell r="J5" t="str">
            <v>Crowe Vietnam Master Binder Template v1.1</v>
          </cell>
          <cell r="O5" t="str">
            <v>B01-DN</v>
          </cell>
          <cell r="R5" t="str">
            <v>Crowe Vietnam Master Binder Template v1.1</v>
          </cell>
          <cell r="W5" t="str">
            <v>B01-DN</v>
          </cell>
          <cell r="Y5" t="str">
            <v>Crowe Vietnam Master Binder Template v1.1</v>
          </cell>
          <cell r="AD5" t="str">
            <v>B01-DN</v>
          </cell>
        </row>
        <row r="6">
          <cell r="H6" t="str">
            <v>(Issued in accordance with Circular No. 200/2014/TT-BTC</v>
          </cell>
          <cell r="O6" t="str">
            <v>(Ban hành theo Thông tư số 200/2014/TT-BTC</v>
          </cell>
          <cell r="W6" t="str">
            <v>(Issued in accordance with Circular No. 200/2014/TT-BTC</v>
          </cell>
          <cell r="AD6" t="str">
            <v>(Ban hành theo Thông tư số 200/2014/TT-BTC</v>
          </cell>
        </row>
        <row r="7">
          <cell r="H7" t="str">
            <v>dated 22 December 2014 of the Ministry of Finance)</v>
          </cell>
          <cell r="O7" t="str">
            <v>ngày 22 tháng 12 năm 2014 của Bộ Tài chính)</v>
          </cell>
          <cell r="W7" t="str">
            <v>dated 22 December 2014 of the Ministry of Finance)</v>
          </cell>
          <cell r="AD7" t="str">
            <v>ngày 22 tháng 12 năm 2014 của Bộ Tài chính)</v>
          </cell>
        </row>
        <row r="9">
          <cell r="C9" t="str">
            <v>BALANCE SHEET</v>
          </cell>
          <cell r="J9" t="str">
            <v xml:space="preserve">BẢNG CÂN ĐỐI KẾ TOÁN </v>
          </cell>
          <cell r="R9" t="str">
            <v>BALANCE SHEET</v>
          </cell>
          <cell r="Y9" t="str">
            <v>BẢNG CÂN ĐỐI KẾ TOÁN</v>
          </cell>
        </row>
        <row r="10">
          <cell r="C10" t="str">
            <v>STATEMENT OF FINANCIAL POSITION</v>
          </cell>
          <cell r="J10" t="str">
            <v xml:space="preserve">BÁO CÁO TÌNH HÌNH TÀI CHÍNH </v>
          </cell>
          <cell r="R10" t="str">
            <v>STATEMENT OF FINANCIAL POSITION</v>
          </cell>
          <cell r="Y10" t="str">
            <v>BÁO CÁO TÌNH HÌNH TÀI CHÍNH</v>
          </cell>
        </row>
        <row r="11">
          <cell r="C11" t="str">
            <v>as at 31 December 2023</v>
          </cell>
          <cell r="J11" t="str">
            <v>tại ngày 31 tháng 12 năm 2023</v>
          </cell>
          <cell r="R11" t="str">
            <v>as at 31 December 2023</v>
          </cell>
          <cell r="Y11" t="str">
            <v>tại ngày 31 tháng 12 năm 2023</v>
          </cell>
        </row>
        <row r="12">
          <cell r="C12" t="str">
            <v>Unit: VND</v>
          </cell>
          <cell r="J12" t="str">
            <v>Đơn vị: VND</v>
          </cell>
          <cell r="R12" t="str">
            <v>Unit: VND 1,000</v>
          </cell>
          <cell r="Y12" t="str">
            <v>Đơn vị: 1.000 VND</v>
          </cell>
        </row>
        <row r="13">
          <cell r="C13" t="str">
            <v>(The accompanying Notes are an integral part of these Financial Statements)</v>
          </cell>
          <cell r="J13" t="str">
            <v>(Các Thuyết minh đính kèm là một phần không thể tách rời của các Báo cáo Tài chính này)</v>
          </cell>
          <cell r="R13" t="str">
            <v>(The accompanying Notes are an integral part of these Financial Statements)</v>
          </cell>
          <cell r="Y13" t="str">
            <v>(Các Thuyết minh đính kèm là một phần không thể tách rời của các Báo cáo Tài chính này)</v>
          </cell>
        </row>
        <row r="15">
          <cell r="C15" t="str">
            <v>ASSETS</v>
          </cell>
          <cell r="E15" t="str">
            <v>Code</v>
          </cell>
          <cell r="F15" t="str">
            <v>Notes</v>
          </cell>
          <cell r="G15" t="str">
            <v>Ending bal'</v>
          </cell>
          <cell r="H15" t="str">
            <v>Beginning bal'</v>
          </cell>
          <cell r="J15" t="str">
            <v>TÀI SẢN</v>
          </cell>
          <cell r="L15" t="str">
            <v>Mã số</v>
          </cell>
          <cell r="M15" t="str">
            <v>TM</v>
          </cell>
          <cell r="N15" t="str">
            <v>Số cuối năm</v>
          </cell>
          <cell r="O15" t="str">
            <v>Số đầu năm</v>
          </cell>
          <cell r="R15" t="str">
            <v>ASSETS</v>
          </cell>
          <cell r="S15" t="str">
            <v/>
          </cell>
          <cell r="T15" t="str">
            <v>Code</v>
          </cell>
          <cell r="U15" t="str">
            <v>Notes</v>
          </cell>
          <cell r="V15" t="str">
            <v>Ending bal'</v>
          </cell>
          <cell r="W15" t="str">
            <v>Beginning bal'</v>
          </cell>
          <cell r="Y15" t="str">
            <v>TÀI SẢN</v>
          </cell>
          <cell r="Z15" t="str">
            <v/>
          </cell>
          <cell r="AA15" t="str">
            <v>Mã số</v>
          </cell>
          <cell r="AB15" t="str">
            <v>TM</v>
          </cell>
          <cell r="AC15" t="str">
            <v>Số cuối năm</v>
          </cell>
          <cell r="AD15" t="str">
            <v>Số đầu năm</v>
          </cell>
        </row>
        <row r="16">
          <cell r="E16" t="str">
            <v xml:space="preserve"> </v>
          </cell>
          <cell r="T16" t="str">
            <v xml:space="preserve"> </v>
          </cell>
        </row>
        <row r="17">
          <cell r="C17" t="str">
            <v>A.</v>
          </cell>
          <cell r="D17" t="str">
            <v xml:space="preserve">CURRENT ASSETS </v>
          </cell>
          <cell r="E17">
            <v>100</v>
          </cell>
          <cell r="G17">
            <v>7739775378</v>
          </cell>
          <cell r="H17">
            <v>8458566071</v>
          </cell>
          <cell r="J17" t="str">
            <v>A.</v>
          </cell>
          <cell r="K17" t="str">
            <v>TÀI SẢN NGẮN HẠN</v>
          </cell>
          <cell r="L17">
            <v>100</v>
          </cell>
          <cell r="M17" t="str">
            <v/>
          </cell>
          <cell r="N17">
            <v>7739775378</v>
          </cell>
          <cell r="O17">
            <v>8458566071</v>
          </cell>
          <cell r="R17" t="str">
            <v>A.</v>
          </cell>
          <cell r="S17" t="str">
            <v xml:space="preserve">CURRENT ASSETS </v>
          </cell>
          <cell r="T17">
            <v>100</v>
          </cell>
          <cell r="U17" t="str">
            <v/>
          </cell>
          <cell r="V17">
            <v>176079889849</v>
          </cell>
          <cell r="W17">
            <v>189810222633</v>
          </cell>
          <cell r="Y17" t="str">
            <v>A.</v>
          </cell>
          <cell r="Z17" t="str">
            <v>TÀI SẢN NGẮN HẠN</v>
          </cell>
          <cell r="AA17">
            <v>100</v>
          </cell>
          <cell r="AB17" t="str">
            <v/>
          </cell>
          <cell r="AC17">
            <v>176079889849</v>
          </cell>
          <cell r="AD17">
            <v>189810222633</v>
          </cell>
        </row>
        <row r="18">
          <cell r="J18" t="str">
            <v/>
          </cell>
          <cell r="M18" t="str">
            <v/>
          </cell>
          <cell r="R18" t="str">
            <v/>
          </cell>
          <cell r="S18" t="str">
            <v/>
          </cell>
          <cell r="T18" t="str">
            <v/>
          </cell>
          <cell r="U18" t="str">
            <v/>
          </cell>
          <cell r="Y18" t="str">
            <v/>
          </cell>
          <cell r="Z18" t="str">
            <v/>
          </cell>
          <cell r="AA18" t="str">
            <v/>
          </cell>
          <cell r="AB18" t="str">
            <v/>
          </cell>
        </row>
        <row r="19">
          <cell r="C19" t="str">
            <v>I.</v>
          </cell>
          <cell r="D19" t="str">
            <v>Cash and cash equivalents</v>
          </cell>
          <cell r="E19">
            <v>110</v>
          </cell>
          <cell r="F19">
            <v>5</v>
          </cell>
          <cell r="G19">
            <v>6085663659</v>
          </cell>
          <cell r="H19">
            <v>6270753793</v>
          </cell>
          <cell r="J19" t="str">
            <v>I.</v>
          </cell>
          <cell r="K19" t="str">
            <v>Tiền và các khoản tương đương tiền</v>
          </cell>
          <cell r="L19">
            <v>110</v>
          </cell>
          <cell r="M19">
            <v>5</v>
          </cell>
          <cell r="N19">
            <v>6085663659</v>
          </cell>
          <cell r="O19">
            <v>6270753793</v>
          </cell>
          <cell r="R19" t="str">
            <v>I.</v>
          </cell>
          <cell r="S19" t="str">
            <v>Cash and cash equivalents</v>
          </cell>
          <cell r="T19">
            <v>110</v>
          </cell>
          <cell r="U19">
            <v>5</v>
          </cell>
          <cell r="V19">
            <v>138448848242</v>
          </cell>
          <cell r="W19">
            <v>140715715115</v>
          </cell>
          <cell r="Y19" t="str">
            <v>I.</v>
          </cell>
          <cell r="Z19" t="str">
            <v>Tiền và các khoản tương đương tiền</v>
          </cell>
          <cell r="AA19">
            <v>110</v>
          </cell>
          <cell r="AB19">
            <v>5</v>
          </cell>
          <cell r="AC19">
            <v>138448848242</v>
          </cell>
          <cell r="AD19">
            <v>140715715115</v>
          </cell>
        </row>
        <row r="20">
          <cell r="D20" t="str">
            <v>▪ Cash</v>
          </cell>
          <cell r="E20">
            <v>111</v>
          </cell>
          <cell r="G20">
            <v>6085663659</v>
          </cell>
          <cell r="H20">
            <v>6270753793</v>
          </cell>
          <cell r="J20" t="str">
            <v/>
          </cell>
          <cell r="K20" t="str">
            <v>▪ Tiền</v>
          </cell>
          <cell r="L20">
            <v>111</v>
          </cell>
          <cell r="M20" t="str">
            <v/>
          </cell>
          <cell r="N20">
            <v>6085663659</v>
          </cell>
          <cell r="O20">
            <v>6270753793</v>
          </cell>
          <cell r="R20" t="str">
            <v/>
          </cell>
          <cell r="S20" t="str">
            <v>▪ Cash</v>
          </cell>
          <cell r="T20">
            <v>111</v>
          </cell>
          <cell r="U20" t="str">
            <v/>
          </cell>
          <cell r="V20">
            <v>138448848242</v>
          </cell>
          <cell r="W20">
            <v>140715715115</v>
          </cell>
          <cell r="Y20" t="str">
            <v/>
          </cell>
          <cell r="Z20" t="str">
            <v>▪ Tiền</v>
          </cell>
          <cell r="AA20">
            <v>111</v>
          </cell>
          <cell r="AB20" t="str">
            <v/>
          </cell>
          <cell r="AC20">
            <v>138448848242</v>
          </cell>
          <cell r="AD20">
            <v>140715715115</v>
          </cell>
        </row>
        <row r="21">
          <cell r="D21" t="str">
            <v>▪ Cash equivalents</v>
          </cell>
          <cell r="E21">
            <v>112</v>
          </cell>
          <cell r="G21">
            <v>0</v>
          </cell>
          <cell r="H21">
            <v>0</v>
          </cell>
          <cell r="J21" t="str">
            <v/>
          </cell>
          <cell r="K21" t="str">
            <v>▪ Các khoản tương đương tiền</v>
          </cell>
          <cell r="L21">
            <v>112</v>
          </cell>
          <cell r="M21" t="str">
            <v/>
          </cell>
          <cell r="N21">
            <v>0</v>
          </cell>
          <cell r="O21">
            <v>0</v>
          </cell>
          <cell r="R21" t="str">
            <v/>
          </cell>
          <cell r="S21" t="str">
            <v>▪ Cash equivalents</v>
          </cell>
          <cell r="T21">
            <v>112</v>
          </cell>
          <cell r="U21" t="str">
            <v/>
          </cell>
          <cell r="V21">
            <v>0</v>
          </cell>
          <cell r="W21">
            <v>0</v>
          </cell>
          <cell r="Y21" t="str">
            <v/>
          </cell>
          <cell r="Z21" t="str">
            <v>▪ Các khoản tương đương tiền</v>
          </cell>
          <cell r="AA21">
            <v>112</v>
          </cell>
          <cell r="AB21" t="str">
            <v/>
          </cell>
          <cell r="AC21">
            <v>0</v>
          </cell>
          <cell r="AD21">
            <v>0</v>
          </cell>
        </row>
        <row r="22">
          <cell r="J22" t="str">
            <v/>
          </cell>
          <cell r="M22" t="str">
            <v/>
          </cell>
        </row>
        <row r="23">
          <cell r="C23" t="str">
            <v>II.</v>
          </cell>
          <cell r="D23" t="str">
            <v>Short-term financial investments</v>
          </cell>
          <cell r="E23">
            <v>120</v>
          </cell>
          <cell r="G23">
            <v>0</v>
          </cell>
          <cell r="H23">
            <v>0</v>
          </cell>
          <cell r="J23" t="str">
            <v>II.</v>
          </cell>
          <cell r="K23" t="str">
            <v>Đầu tư tài chính ngắn hạn</v>
          </cell>
          <cell r="L23">
            <v>120</v>
          </cell>
          <cell r="M23" t="str">
            <v/>
          </cell>
          <cell r="N23">
            <v>0</v>
          </cell>
          <cell r="O23">
            <v>0</v>
          </cell>
          <cell r="R23" t="str">
            <v>II.</v>
          </cell>
          <cell r="S23" t="str">
            <v>Short-term financial investments</v>
          </cell>
          <cell r="T23">
            <v>120</v>
          </cell>
          <cell r="U23" t="str">
            <v/>
          </cell>
          <cell r="V23">
            <v>0</v>
          </cell>
          <cell r="W23">
            <v>0</v>
          </cell>
          <cell r="Y23" t="str">
            <v>II.</v>
          </cell>
          <cell r="Z23" t="str">
            <v>Đầu tư tài chính ngắn hạn</v>
          </cell>
          <cell r="AA23">
            <v>120</v>
          </cell>
          <cell r="AB23" t="str">
            <v/>
          </cell>
          <cell r="AC23">
            <v>0</v>
          </cell>
          <cell r="AD23">
            <v>0</v>
          </cell>
        </row>
        <row r="24">
          <cell r="D24" t="str">
            <v>▪ Trading securities</v>
          </cell>
          <cell r="E24">
            <v>121</v>
          </cell>
          <cell r="F24" t="str">
            <v/>
          </cell>
          <cell r="G24">
            <v>0</v>
          </cell>
          <cell r="H24">
            <v>0</v>
          </cell>
          <cell r="K24" t="str">
            <v>▪ Chứng khoán kinh doanh</v>
          </cell>
          <cell r="L24">
            <v>121</v>
          </cell>
          <cell r="M24" t="str">
            <v/>
          </cell>
          <cell r="N24">
            <v>0</v>
          </cell>
          <cell r="O24">
            <v>0</v>
          </cell>
          <cell r="S24" t="str">
            <v>▪ Trading securities</v>
          </cell>
          <cell r="T24">
            <v>121</v>
          </cell>
          <cell r="V24">
            <v>0</v>
          </cell>
          <cell r="W24">
            <v>0</v>
          </cell>
          <cell r="Z24" t="str">
            <v>▪ Chứng khoán kinh doanh</v>
          </cell>
          <cell r="AA24">
            <v>121</v>
          </cell>
          <cell r="AC24">
            <v>0</v>
          </cell>
          <cell r="AD24">
            <v>0</v>
          </cell>
        </row>
        <row r="25">
          <cell r="D25" t="str">
            <v>▪ Provision for devaluation of
  trading securities</v>
          </cell>
          <cell r="E25">
            <v>122</v>
          </cell>
          <cell r="F25" t="str">
            <v/>
          </cell>
          <cell r="G25">
            <v>0</v>
          </cell>
          <cell r="H25">
            <v>0</v>
          </cell>
          <cell r="J25" t="str">
            <v/>
          </cell>
          <cell r="K25" t="str">
            <v>▪ Dự phòng giảm giá chứng khoán   
  kinh doanh</v>
          </cell>
          <cell r="L25">
            <v>122</v>
          </cell>
          <cell r="M25" t="str">
            <v/>
          </cell>
          <cell r="N25">
            <v>0</v>
          </cell>
          <cell r="O25">
            <v>0</v>
          </cell>
          <cell r="R25" t="str">
            <v/>
          </cell>
          <cell r="S25" t="str">
            <v>▪ Provision for devaluation of
  trading securities</v>
          </cell>
          <cell r="T25">
            <v>122</v>
          </cell>
          <cell r="U25" t="str">
            <v/>
          </cell>
          <cell r="V25">
            <v>0</v>
          </cell>
          <cell r="W25">
            <v>0</v>
          </cell>
          <cell r="Y25" t="str">
            <v/>
          </cell>
          <cell r="Z25" t="str">
            <v>▪ Dự phòng giảm giá chứng khoán   
  kinh doanh</v>
          </cell>
          <cell r="AA25">
            <v>122</v>
          </cell>
          <cell r="AB25" t="str">
            <v/>
          </cell>
          <cell r="AC25">
            <v>0</v>
          </cell>
          <cell r="AD25">
            <v>0</v>
          </cell>
        </row>
        <row r="26">
          <cell r="D26" t="str">
            <v>▪ Investments held to maturity</v>
          </cell>
          <cell r="E26">
            <v>123</v>
          </cell>
          <cell r="F26" t="str">
            <v/>
          </cell>
          <cell r="G26">
            <v>0</v>
          </cell>
          <cell r="H26">
            <v>0</v>
          </cell>
          <cell r="J26" t="str">
            <v/>
          </cell>
          <cell r="K26" t="str">
            <v>▪ Đầu tư nắm giữ đến ngày đáo hạn</v>
          </cell>
          <cell r="L26">
            <v>123</v>
          </cell>
          <cell r="M26" t="str">
            <v/>
          </cell>
          <cell r="N26">
            <v>0</v>
          </cell>
          <cell r="O26">
            <v>0</v>
          </cell>
          <cell r="R26" t="str">
            <v/>
          </cell>
          <cell r="S26" t="str">
            <v>▪ Investments held to maturity</v>
          </cell>
          <cell r="T26">
            <v>123</v>
          </cell>
          <cell r="U26" t="str">
            <v/>
          </cell>
          <cell r="V26">
            <v>0</v>
          </cell>
          <cell r="W26">
            <v>0</v>
          </cell>
          <cell r="Y26" t="str">
            <v/>
          </cell>
          <cell r="Z26" t="str">
            <v>▪ Đầu tư nắm giữ đến ngày đáo hạn</v>
          </cell>
          <cell r="AA26">
            <v>123</v>
          </cell>
          <cell r="AB26" t="str">
            <v/>
          </cell>
          <cell r="AC26">
            <v>0</v>
          </cell>
          <cell r="AD26">
            <v>0</v>
          </cell>
        </row>
        <row r="27">
          <cell r="J27" t="str">
            <v/>
          </cell>
          <cell r="M27" t="str">
            <v/>
          </cell>
          <cell r="Y27" t="str">
            <v/>
          </cell>
          <cell r="Z27" t="str">
            <v/>
          </cell>
          <cell r="AA27" t="str">
            <v/>
          </cell>
          <cell r="AB27" t="str">
            <v/>
          </cell>
        </row>
        <row r="28">
          <cell r="C28" t="str">
            <v>III.</v>
          </cell>
          <cell r="D28" t="str">
            <v>Short-term receivables</v>
          </cell>
          <cell r="E28">
            <v>130</v>
          </cell>
          <cell r="G28">
            <v>968348260</v>
          </cell>
          <cell r="H28">
            <v>1610487157</v>
          </cell>
          <cell r="J28" t="str">
            <v>III.</v>
          </cell>
          <cell r="K28" t="str">
            <v xml:space="preserve">Các khoản phải thu ngắn hạn </v>
          </cell>
          <cell r="L28">
            <v>130</v>
          </cell>
          <cell r="M28" t="str">
            <v/>
          </cell>
          <cell r="N28">
            <v>968348260</v>
          </cell>
          <cell r="O28">
            <v>1610487157</v>
          </cell>
          <cell r="R28" t="str">
            <v>III.</v>
          </cell>
          <cell r="S28" t="str">
            <v>Short-term receivables</v>
          </cell>
          <cell r="T28">
            <v>130</v>
          </cell>
          <cell r="U28" t="str">
            <v/>
          </cell>
          <cell r="V28">
            <v>22029922915</v>
          </cell>
          <cell r="W28">
            <v>36139331803</v>
          </cell>
          <cell r="Y28" t="str">
            <v>III.</v>
          </cell>
          <cell r="Z28" t="str">
            <v xml:space="preserve">Các khoản phải thu ngắn hạn </v>
          </cell>
          <cell r="AA28">
            <v>130</v>
          </cell>
          <cell r="AB28" t="str">
            <v/>
          </cell>
          <cell r="AC28">
            <v>22029922915</v>
          </cell>
          <cell r="AD28">
            <v>36139331803</v>
          </cell>
        </row>
        <row r="29">
          <cell r="D29" t="str">
            <v>▪ Short-term receivables from customers</v>
          </cell>
          <cell r="E29">
            <v>131</v>
          </cell>
          <cell r="F29">
            <v>6</v>
          </cell>
          <cell r="G29">
            <v>553057697</v>
          </cell>
          <cell r="H29">
            <v>787548208</v>
          </cell>
          <cell r="J29" t="str">
            <v/>
          </cell>
          <cell r="K29" t="str">
            <v>▪ Phải thu ngắn hạn của khách hàng</v>
          </cell>
          <cell r="L29">
            <v>131</v>
          </cell>
          <cell r="M29">
            <v>6</v>
          </cell>
          <cell r="N29">
            <v>553057697</v>
          </cell>
          <cell r="O29">
            <v>787548208</v>
          </cell>
          <cell r="R29" t="str">
            <v/>
          </cell>
          <cell r="S29" t="str">
            <v>▪ Short-term receivables from customers</v>
          </cell>
          <cell r="T29">
            <v>131</v>
          </cell>
          <cell r="U29">
            <v>6</v>
          </cell>
          <cell r="V29">
            <v>12582062607</v>
          </cell>
          <cell r="W29">
            <v>17672581788</v>
          </cell>
          <cell r="Y29" t="str">
            <v/>
          </cell>
          <cell r="Z29" t="str">
            <v>▪ Phải thu ngắn hạn của khách hàng</v>
          </cell>
          <cell r="AA29">
            <v>131</v>
          </cell>
          <cell r="AB29">
            <v>6</v>
          </cell>
          <cell r="AC29">
            <v>12582062607</v>
          </cell>
          <cell r="AD29">
            <v>17672581788</v>
          </cell>
        </row>
        <row r="30">
          <cell r="D30" t="str">
            <v>▪ Short-term advances to suppliers</v>
          </cell>
          <cell r="E30">
            <v>132</v>
          </cell>
          <cell r="F30">
            <v>7</v>
          </cell>
          <cell r="G30">
            <v>19084163</v>
          </cell>
          <cell r="H30">
            <v>19175523</v>
          </cell>
          <cell r="J30" t="str">
            <v/>
          </cell>
          <cell r="K30" t="str">
            <v>▪ Trả trước cho người bán ngắn hạn</v>
          </cell>
          <cell r="L30">
            <v>132</v>
          </cell>
          <cell r="M30">
            <v>7</v>
          </cell>
          <cell r="N30">
            <v>19084163</v>
          </cell>
          <cell r="O30">
            <v>19175523</v>
          </cell>
          <cell r="R30" t="str">
            <v/>
          </cell>
          <cell r="S30" t="str">
            <v>▪ Short-term advances to suppliers</v>
          </cell>
          <cell r="T30">
            <v>132</v>
          </cell>
          <cell r="U30">
            <v>7</v>
          </cell>
          <cell r="V30">
            <v>434164708</v>
          </cell>
          <cell r="W30">
            <v>430298736</v>
          </cell>
          <cell r="Y30" t="str">
            <v/>
          </cell>
          <cell r="Z30" t="str">
            <v>▪ Trả trước cho người bán ngắn hạn</v>
          </cell>
          <cell r="AA30">
            <v>132</v>
          </cell>
          <cell r="AB30">
            <v>7</v>
          </cell>
          <cell r="AC30">
            <v>434164708</v>
          </cell>
          <cell r="AD30">
            <v>430298736</v>
          </cell>
        </row>
        <row r="31">
          <cell r="D31" t="str">
            <v>▪ Short-term inter-company receivables</v>
          </cell>
          <cell r="E31">
            <v>133</v>
          </cell>
          <cell r="F31" t="str">
            <v/>
          </cell>
          <cell r="G31">
            <v>0</v>
          </cell>
          <cell r="H31">
            <v>0</v>
          </cell>
          <cell r="J31" t="str">
            <v/>
          </cell>
          <cell r="K31" t="str">
            <v>▪ Phải thu nội bộ ngắn hạn</v>
          </cell>
          <cell r="L31">
            <v>133</v>
          </cell>
          <cell r="M31" t="str">
            <v/>
          </cell>
          <cell r="N31">
            <v>0</v>
          </cell>
          <cell r="O31">
            <v>0</v>
          </cell>
          <cell r="R31" t="str">
            <v/>
          </cell>
          <cell r="S31" t="str">
            <v>▪ Short-term inter-company receivables</v>
          </cell>
          <cell r="T31">
            <v>133</v>
          </cell>
          <cell r="U31" t="str">
            <v/>
          </cell>
          <cell r="V31">
            <v>0</v>
          </cell>
          <cell r="W31">
            <v>0</v>
          </cell>
          <cell r="Y31" t="str">
            <v/>
          </cell>
          <cell r="Z31" t="str">
            <v>▪ Phải thu nội bộ ngắn hạn</v>
          </cell>
          <cell r="AA31">
            <v>133</v>
          </cell>
          <cell r="AB31" t="str">
            <v/>
          </cell>
          <cell r="AC31">
            <v>0</v>
          </cell>
          <cell r="AD31">
            <v>0</v>
          </cell>
        </row>
        <row r="32">
          <cell r="D32" t="str">
            <v>▪ Receivables according to the progress of
  construction contracts</v>
          </cell>
          <cell r="E32">
            <v>134</v>
          </cell>
          <cell r="F32" t="str">
            <v/>
          </cell>
          <cell r="G32">
            <v>0</v>
          </cell>
          <cell r="H32">
            <v>0</v>
          </cell>
          <cell r="J32" t="str">
            <v/>
          </cell>
          <cell r="K32" t="str">
            <v>▪ Phải thu theo tiến độ kế hoạch 
  hợp đồng xây dựng</v>
          </cell>
          <cell r="L32">
            <v>134</v>
          </cell>
          <cell r="M32" t="str">
            <v/>
          </cell>
          <cell r="N32">
            <v>0</v>
          </cell>
          <cell r="O32">
            <v>0</v>
          </cell>
          <cell r="R32" t="str">
            <v/>
          </cell>
          <cell r="S32" t="str">
            <v>▪ Receivables according to the progress of
  construction contracts</v>
          </cell>
          <cell r="T32">
            <v>134</v>
          </cell>
          <cell r="U32" t="str">
            <v/>
          </cell>
          <cell r="V32">
            <v>0</v>
          </cell>
          <cell r="W32">
            <v>0</v>
          </cell>
          <cell r="Y32" t="str">
            <v/>
          </cell>
          <cell r="Z32" t="str">
            <v>▪ Phải thu theo tiến độ kế hoạch 
  hợp đồng xây dựng</v>
          </cell>
          <cell r="AA32">
            <v>134</v>
          </cell>
          <cell r="AB32" t="str">
            <v/>
          </cell>
          <cell r="AC32">
            <v>0</v>
          </cell>
          <cell r="AD32">
            <v>0</v>
          </cell>
        </row>
        <row r="33">
          <cell r="D33" t="str">
            <v>▪ Short-term loan receivables</v>
          </cell>
          <cell r="E33">
            <v>135</v>
          </cell>
          <cell r="F33" t="str">
            <v/>
          </cell>
          <cell r="G33">
            <v>0</v>
          </cell>
          <cell r="H33">
            <v>0</v>
          </cell>
          <cell r="J33" t="str">
            <v/>
          </cell>
          <cell r="K33" t="str">
            <v>▪ Phải thu về cho vay ngắn hạn</v>
          </cell>
          <cell r="L33">
            <v>135</v>
          </cell>
          <cell r="M33" t="str">
            <v/>
          </cell>
          <cell r="N33">
            <v>0</v>
          </cell>
          <cell r="O33">
            <v>0</v>
          </cell>
          <cell r="R33" t="str">
            <v/>
          </cell>
          <cell r="S33" t="str">
            <v>▪ Short-term loan receivables</v>
          </cell>
          <cell r="T33">
            <v>135</v>
          </cell>
          <cell r="U33" t="str">
            <v/>
          </cell>
          <cell r="V33">
            <v>0</v>
          </cell>
          <cell r="W33">
            <v>0</v>
          </cell>
          <cell r="Y33" t="str">
            <v/>
          </cell>
          <cell r="Z33" t="str">
            <v>▪ Phải thu về cho vay ngắn hạn</v>
          </cell>
          <cell r="AA33">
            <v>135</v>
          </cell>
          <cell r="AB33" t="str">
            <v/>
          </cell>
          <cell r="AC33">
            <v>0</v>
          </cell>
          <cell r="AD33">
            <v>0</v>
          </cell>
        </row>
        <row r="34">
          <cell r="D34" t="str">
            <v>▪ Other short-term receivables</v>
          </cell>
          <cell r="E34">
            <v>136</v>
          </cell>
          <cell r="F34">
            <v>8</v>
          </cell>
          <cell r="G34">
            <v>396206400</v>
          </cell>
          <cell r="H34">
            <v>803763426</v>
          </cell>
          <cell r="K34" t="str">
            <v>▪ Phải thu ngắn hạn khác</v>
          </cell>
          <cell r="L34">
            <v>136</v>
          </cell>
          <cell r="M34">
            <v>8</v>
          </cell>
          <cell r="N34">
            <v>396206400</v>
          </cell>
          <cell r="O34">
            <v>803763426</v>
          </cell>
          <cell r="S34" t="str">
            <v>▪ Other short-term receivables</v>
          </cell>
          <cell r="T34">
            <v>136</v>
          </cell>
          <cell r="U34">
            <v>8</v>
          </cell>
          <cell r="V34">
            <v>9013695600</v>
          </cell>
          <cell r="W34">
            <v>18036451279</v>
          </cell>
          <cell r="Z34" t="str">
            <v>▪ Phải thu ngắn hạn khác</v>
          </cell>
          <cell r="AA34">
            <v>136</v>
          </cell>
          <cell r="AB34">
            <v>8</v>
          </cell>
          <cell r="AC34">
            <v>9013695600</v>
          </cell>
          <cell r="AD34">
            <v>18036451279</v>
          </cell>
        </row>
        <row r="35">
          <cell r="D35" t="str">
            <v>▪ Provision for short-term doubtful debts</v>
          </cell>
          <cell r="E35">
            <v>137</v>
          </cell>
          <cell r="F35" t="str">
            <v/>
          </cell>
          <cell r="G35">
            <v>0</v>
          </cell>
          <cell r="H35">
            <v>0</v>
          </cell>
          <cell r="K35" t="str">
            <v>▪ Dự phòng phải thu ngắn hạn khó đòi</v>
          </cell>
          <cell r="L35">
            <v>137</v>
          </cell>
          <cell r="M35" t="str">
            <v/>
          </cell>
          <cell r="N35">
            <v>0</v>
          </cell>
          <cell r="O35">
            <v>0</v>
          </cell>
          <cell r="S35" t="str">
            <v>▪ Provision for short-term doubtful debts</v>
          </cell>
          <cell r="T35">
            <v>137</v>
          </cell>
          <cell r="U35" t="str">
            <v/>
          </cell>
          <cell r="V35">
            <v>0</v>
          </cell>
          <cell r="W35">
            <v>0</v>
          </cell>
          <cell r="Z35" t="str">
            <v>▪ Dự phòng phải thu ngắn hạn khó đòi</v>
          </cell>
          <cell r="AA35">
            <v>137</v>
          </cell>
          <cell r="AB35" t="str">
            <v/>
          </cell>
          <cell r="AC35">
            <v>0</v>
          </cell>
          <cell r="AD35">
            <v>0</v>
          </cell>
        </row>
        <row r="36">
          <cell r="D36" t="str">
            <v>▪ Shortage of assets awaiting resolution</v>
          </cell>
          <cell r="E36">
            <v>139</v>
          </cell>
          <cell r="F36" t="str">
            <v/>
          </cell>
          <cell r="G36">
            <v>0</v>
          </cell>
          <cell r="H36">
            <v>0</v>
          </cell>
          <cell r="J36" t="str">
            <v/>
          </cell>
          <cell r="K36" t="str">
            <v>▪ Tài sản thiếu chờ xử lý</v>
          </cell>
          <cell r="L36">
            <v>139</v>
          </cell>
          <cell r="M36" t="str">
            <v/>
          </cell>
          <cell r="N36">
            <v>0</v>
          </cell>
          <cell r="O36">
            <v>0</v>
          </cell>
          <cell r="R36" t="str">
            <v/>
          </cell>
          <cell r="S36" t="str">
            <v>▪ Shortage of assets awaiting resolution</v>
          </cell>
          <cell r="T36">
            <v>139</v>
          </cell>
          <cell r="U36" t="str">
            <v/>
          </cell>
          <cell r="V36">
            <v>0</v>
          </cell>
          <cell r="W36">
            <v>0</v>
          </cell>
          <cell r="Y36" t="str">
            <v/>
          </cell>
          <cell r="Z36" t="str">
            <v>▪ Tài sản thiếu chờ xử lý</v>
          </cell>
          <cell r="AA36">
            <v>139</v>
          </cell>
          <cell r="AB36" t="str">
            <v/>
          </cell>
          <cell r="AC36">
            <v>0</v>
          </cell>
          <cell r="AD36">
            <v>0</v>
          </cell>
        </row>
        <row r="37">
          <cell r="J37" t="str">
            <v/>
          </cell>
          <cell r="M37" t="str">
            <v/>
          </cell>
          <cell r="Y37" t="str">
            <v/>
          </cell>
          <cell r="Z37" t="str">
            <v/>
          </cell>
          <cell r="AA37" t="str">
            <v/>
          </cell>
          <cell r="AB37" t="str">
            <v/>
          </cell>
        </row>
        <row r="38">
          <cell r="C38" t="str">
            <v>IV.</v>
          </cell>
          <cell r="D38" t="str">
            <v>Inventories</v>
          </cell>
          <cell r="E38">
            <v>140</v>
          </cell>
          <cell r="F38">
            <v>9</v>
          </cell>
          <cell r="G38">
            <v>439054511</v>
          </cell>
          <cell r="H38">
            <v>335576938</v>
          </cell>
          <cell r="J38" t="str">
            <v>IV.</v>
          </cell>
          <cell r="K38" t="str">
            <v>Hàng tồn kho</v>
          </cell>
          <cell r="L38">
            <v>140</v>
          </cell>
          <cell r="M38">
            <v>9</v>
          </cell>
          <cell r="N38">
            <v>439054511</v>
          </cell>
          <cell r="O38">
            <v>335576938</v>
          </cell>
          <cell r="R38" t="str">
            <v>IV.</v>
          </cell>
          <cell r="S38" t="str">
            <v>Inventories</v>
          </cell>
          <cell r="T38">
            <v>140</v>
          </cell>
          <cell r="U38">
            <v>9</v>
          </cell>
          <cell r="V38">
            <v>9988490125</v>
          </cell>
          <cell r="W38">
            <v>7530346489</v>
          </cell>
          <cell r="Y38" t="str">
            <v>IV.</v>
          </cell>
          <cell r="Z38" t="str">
            <v>Hàng tồn kho</v>
          </cell>
          <cell r="AA38">
            <v>140</v>
          </cell>
          <cell r="AB38">
            <v>9</v>
          </cell>
          <cell r="AC38">
            <v>9988490125</v>
          </cell>
          <cell r="AD38">
            <v>7530346489</v>
          </cell>
        </row>
        <row r="39">
          <cell r="D39" t="str">
            <v>▪ Inventories</v>
          </cell>
          <cell r="E39">
            <v>141</v>
          </cell>
          <cell r="G39">
            <v>439054511</v>
          </cell>
          <cell r="H39">
            <v>335576938</v>
          </cell>
          <cell r="J39" t="str">
            <v/>
          </cell>
          <cell r="K39" t="str">
            <v>▪ Hàng tồn kho</v>
          </cell>
          <cell r="L39">
            <v>141</v>
          </cell>
          <cell r="M39" t="str">
            <v/>
          </cell>
          <cell r="N39">
            <v>439054511</v>
          </cell>
          <cell r="O39">
            <v>335576938</v>
          </cell>
          <cell r="R39" t="str">
            <v/>
          </cell>
          <cell r="S39" t="str">
            <v>▪ Inventories</v>
          </cell>
          <cell r="T39">
            <v>141</v>
          </cell>
          <cell r="U39" t="str">
            <v/>
          </cell>
          <cell r="V39">
            <v>9988490125</v>
          </cell>
          <cell r="W39">
            <v>7530346489</v>
          </cell>
          <cell r="Y39" t="str">
            <v/>
          </cell>
          <cell r="Z39" t="str">
            <v>▪ Hàng tồn kho</v>
          </cell>
          <cell r="AA39">
            <v>141</v>
          </cell>
          <cell r="AB39" t="str">
            <v/>
          </cell>
          <cell r="AC39">
            <v>9988490125</v>
          </cell>
          <cell r="AD39">
            <v>7530346489</v>
          </cell>
        </row>
        <row r="40">
          <cell r="D40" t="str">
            <v>▪ Provision for devaluation of inventories</v>
          </cell>
          <cell r="E40">
            <v>149</v>
          </cell>
          <cell r="G40">
            <v>0</v>
          </cell>
          <cell r="H40">
            <v>0</v>
          </cell>
          <cell r="J40" t="str">
            <v/>
          </cell>
          <cell r="K40" t="str">
            <v>▪ Dự phòng giảm giá hàng tồn kho</v>
          </cell>
          <cell r="L40">
            <v>149</v>
          </cell>
          <cell r="M40" t="str">
            <v/>
          </cell>
          <cell r="N40">
            <v>0</v>
          </cell>
          <cell r="O40">
            <v>0</v>
          </cell>
          <cell r="R40" t="str">
            <v/>
          </cell>
          <cell r="S40" t="str">
            <v>▪ Provision for devaluation of inventories</v>
          </cell>
          <cell r="T40">
            <v>149</v>
          </cell>
          <cell r="U40" t="str">
            <v/>
          </cell>
          <cell r="V40">
            <v>0</v>
          </cell>
          <cell r="W40">
            <v>0</v>
          </cell>
          <cell r="Y40" t="str">
            <v/>
          </cell>
          <cell r="Z40" t="str">
            <v>▪ Dự phòng giảm giá hàng tồn kho</v>
          </cell>
          <cell r="AA40">
            <v>149</v>
          </cell>
          <cell r="AB40" t="str">
            <v/>
          </cell>
          <cell r="AC40">
            <v>0</v>
          </cell>
          <cell r="AD40">
            <v>0</v>
          </cell>
        </row>
        <row r="41">
          <cell r="J41" t="str">
            <v/>
          </cell>
          <cell r="M41" t="str">
            <v/>
          </cell>
          <cell r="Y41" t="str">
            <v/>
          </cell>
          <cell r="Z41" t="str">
            <v/>
          </cell>
          <cell r="AA41" t="str">
            <v/>
          </cell>
          <cell r="AB41" t="str">
            <v/>
          </cell>
        </row>
        <row r="42">
          <cell r="C42" t="str">
            <v>V.</v>
          </cell>
          <cell r="D42" t="str">
            <v>Other current assets</v>
          </cell>
          <cell r="E42">
            <v>150</v>
          </cell>
          <cell r="G42">
            <v>246708948</v>
          </cell>
          <cell r="H42">
            <v>241748183</v>
          </cell>
          <cell r="J42" t="str">
            <v>V.</v>
          </cell>
          <cell r="K42" t="str">
            <v>Tài sản ngắn hạn khác</v>
          </cell>
          <cell r="L42">
            <v>150</v>
          </cell>
          <cell r="M42" t="str">
            <v/>
          </cell>
          <cell r="N42">
            <v>246708948</v>
          </cell>
          <cell r="O42">
            <v>241748183</v>
          </cell>
          <cell r="R42" t="str">
            <v>V.</v>
          </cell>
          <cell r="S42" t="str">
            <v>Other current assets</v>
          </cell>
          <cell r="T42">
            <v>150</v>
          </cell>
          <cell r="U42" t="str">
            <v/>
          </cell>
          <cell r="V42">
            <v>5612628567</v>
          </cell>
          <cell r="W42">
            <v>5424829226</v>
          </cell>
          <cell r="Y42" t="str">
            <v>V.</v>
          </cell>
          <cell r="Z42" t="str">
            <v>Tài sản ngắn hạn khác</v>
          </cell>
          <cell r="AA42">
            <v>150</v>
          </cell>
          <cell r="AB42" t="str">
            <v/>
          </cell>
          <cell r="AC42">
            <v>5612628567</v>
          </cell>
          <cell r="AD42">
            <v>5424829226</v>
          </cell>
        </row>
        <row r="43">
          <cell r="D43" t="str">
            <v>▪ Short-term prepaid expenses</v>
          </cell>
          <cell r="E43">
            <v>151</v>
          </cell>
          <cell r="F43">
            <v>10</v>
          </cell>
          <cell r="G43">
            <v>123301727</v>
          </cell>
          <cell r="H43">
            <v>118340962</v>
          </cell>
          <cell r="J43" t="str">
            <v/>
          </cell>
          <cell r="K43" t="str">
            <v>▪ Chi phí trả trước ngắn hạn</v>
          </cell>
          <cell r="L43">
            <v>151</v>
          </cell>
          <cell r="M43">
            <v>10</v>
          </cell>
          <cell r="N43">
            <v>123301727</v>
          </cell>
          <cell r="O43">
            <v>118340962</v>
          </cell>
          <cell r="R43" t="str">
            <v/>
          </cell>
          <cell r="S43" t="str">
            <v>▪ Short-term prepaid expenses</v>
          </cell>
          <cell r="T43">
            <v>151</v>
          </cell>
          <cell r="U43">
            <v>10</v>
          </cell>
          <cell r="V43">
            <v>2805114289</v>
          </cell>
          <cell r="W43">
            <v>2655571187</v>
          </cell>
          <cell r="Y43" t="str">
            <v/>
          </cell>
          <cell r="Z43" t="str">
            <v>▪ Chi phí trả trước ngắn hạn</v>
          </cell>
          <cell r="AA43">
            <v>151</v>
          </cell>
          <cell r="AB43">
            <v>10</v>
          </cell>
          <cell r="AC43">
            <v>2805114289</v>
          </cell>
          <cell r="AD43">
            <v>2655571187</v>
          </cell>
        </row>
        <row r="44">
          <cell r="D44" t="str">
            <v>▪ Deductible VAT</v>
          </cell>
          <cell r="E44">
            <v>152</v>
          </cell>
          <cell r="F44" t="str">
            <v/>
          </cell>
          <cell r="G44">
            <v>0</v>
          </cell>
          <cell r="H44">
            <v>0</v>
          </cell>
          <cell r="J44" t="str">
            <v/>
          </cell>
          <cell r="K44" t="str">
            <v>▪ Thuế GTGT được khấu trừ</v>
          </cell>
          <cell r="L44">
            <v>152</v>
          </cell>
          <cell r="M44" t="str">
            <v/>
          </cell>
          <cell r="N44">
            <v>0</v>
          </cell>
          <cell r="O44">
            <v>0</v>
          </cell>
          <cell r="R44" t="str">
            <v/>
          </cell>
          <cell r="S44" t="str">
            <v>▪ Deductible VAT</v>
          </cell>
          <cell r="T44">
            <v>152</v>
          </cell>
          <cell r="U44" t="str">
            <v/>
          </cell>
          <cell r="V44">
            <v>0</v>
          </cell>
          <cell r="W44">
            <v>0</v>
          </cell>
          <cell r="Y44" t="str">
            <v/>
          </cell>
          <cell r="Z44" t="str">
            <v>▪ Thuế GTGT được khấu trừ</v>
          </cell>
          <cell r="AA44">
            <v>152</v>
          </cell>
          <cell r="AB44" t="str">
            <v/>
          </cell>
          <cell r="AC44">
            <v>0</v>
          </cell>
          <cell r="AD44">
            <v>0</v>
          </cell>
        </row>
        <row r="45">
          <cell r="D45" t="str">
            <v>▪ Taxes and other receivables from
  the State</v>
          </cell>
          <cell r="E45">
            <v>153</v>
          </cell>
          <cell r="F45">
            <v>14</v>
          </cell>
          <cell r="G45">
            <v>123407221</v>
          </cell>
          <cell r="H45">
            <v>123407221</v>
          </cell>
          <cell r="J45" t="str">
            <v/>
          </cell>
          <cell r="K45" t="str">
            <v>▪ Thuế và các khoản khác phải thu
   Nhà nước</v>
          </cell>
          <cell r="L45">
            <v>153</v>
          </cell>
          <cell r="M45">
            <v>14</v>
          </cell>
          <cell r="N45">
            <v>123407221</v>
          </cell>
          <cell r="O45">
            <v>123407221</v>
          </cell>
          <cell r="R45" t="str">
            <v/>
          </cell>
          <cell r="S45" t="str">
            <v>▪ Taxes and other receivables from
  the State</v>
          </cell>
          <cell r="T45">
            <v>153</v>
          </cell>
          <cell r="U45">
            <v>14</v>
          </cell>
          <cell r="V45">
            <v>2807514278</v>
          </cell>
          <cell r="W45">
            <v>2769258039</v>
          </cell>
          <cell r="Y45" t="str">
            <v/>
          </cell>
          <cell r="Z45" t="str">
            <v>▪ Thuế và các khoản khác phải thu
   Nhà nước</v>
          </cell>
          <cell r="AA45">
            <v>153</v>
          </cell>
          <cell r="AB45">
            <v>14</v>
          </cell>
          <cell r="AC45">
            <v>2807514278</v>
          </cell>
          <cell r="AD45">
            <v>2769258039</v>
          </cell>
        </row>
        <row r="46">
          <cell r="D46" t="str">
            <v>▪ Purchase and resale of government bonds</v>
          </cell>
          <cell r="E46">
            <v>154</v>
          </cell>
          <cell r="F46" t="str">
            <v/>
          </cell>
          <cell r="G46">
            <v>0</v>
          </cell>
          <cell r="H46">
            <v>0</v>
          </cell>
          <cell r="K46" t="str">
            <v>▪ Mua bán lại trái phiếu Chính phủ</v>
          </cell>
          <cell r="L46">
            <v>154</v>
          </cell>
          <cell r="M46" t="str">
            <v/>
          </cell>
          <cell r="N46">
            <v>0</v>
          </cell>
          <cell r="O46">
            <v>0</v>
          </cell>
          <cell r="S46" t="str">
            <v>▪ Purchase and resale of government bonds</v>
          </cell>
          <cell r="T46">
            <v>154</v>
          </cell>
          <cell r="U46" t="str">
            <v/>
          </cell>
          <cell r="V46">
            <v>0</v>
          </cell>
          <cell r="W46">
            <v>0</v>
          </cell>
          <cell r="Z46" t="str">
            <v>▪ Mua bán lại trái phiếu Chính phủ</v>
          </cell>
          <cell r="AA46">
            <v>154</v>
          </cell>
          <cell r="AB46" t="str">
            <v/>
          </cell>
          <cell r="AC46">
            <v>0</v>
          </cell>
          <cell r="AD46">
            <v>0</v>
          </cell>
        </row>
        <row r="47">
          <cell r="D47" t="str">
            <v>▪ Other short-term assets</v>
          </cell>
          <cell r="E47">
            <v>155</v>
          </cell>
          <cell r="F47" t="str">
            <v/>
          </cell>
          <cell r="G47">
            <v>0</v>
          </cell>
          <cell r="H47">
            <v>0</v>
          </cell>
          <cell r="J47" t="str">
            <v/>
          </cell>
          <cell r="K47" t="str">
            <v>▪ Tài sản ngắn hạn khác</v>
          </cell>
          <cell r="L47">
            <v>155</v>
          </cell>
          <cell r="M47" t="str">
            <v/>
          </cell>
          <cell r="N47">
            <v>0</v>
          </cell>
          <cell r="O47">
            <v>0</v>
          </cell>
          <cell r="R47" t="str">
            <v/>
          </cell>
          <cell r="S47" t="str">
            <v>▪ Other short-term assets</v>
          </cell>
          <cell r="T47">
            <v>155</v>
          </cell>
          <cell r="U47" t="str">
            <v/>
          </cell>
          <cell r="V47">
            <v>0</v>
          </cell>
          <cell r="W47">
            <v>0</v>
          </cell>
          <cell r="Y47" t="str">
            <v/>
          </cell>
          <cell r="Z47" t="str">
            <v>▪ Tài sản ngắn hạn khác</v>
          </cell>
          <cell r="AA47">
            <v>155</v>
          </cell>
          <cell r="AB47" t="str">
            <v/>
          </cell>
          <cell r="AC47">
            <v>0</v>
          </cell>
          <cell r="AD47">
            <v>0</v>
          </cell>
        </row>
        <row r="48">
          <cell r="J48" t="str">
            <v/>
          </cell>
          <cell r="M48" t="str">
            <v/>
          </cell>
          <cell r="Y48" t="str">
            <v/>
          </cell>
          <cell r="Z48" t="str">
            <v/>
          </cell>
          <cell r="AA48" t="str">
            <v/>
          </cell>
          <cell r="AB48" t="str">
            <v/>
          </cell>
        </row>
        <row r="49">
          <cell r="C49" t="str">
            <v>B.</v>
          </cell>
          <cell r="D49" t="str">
            <v>NON-CURRENT ASSETS</v>
          </cell>
          <cell r="E49">
            <v>200</v>
          </cell>
          <cell r="G49">
            <v>62199136</v>
          </cell>
          <cell r="H49">
            <v>42213240</v>
          </cell>
          <cell r="J49" t="str">
            <v>B.</v>
          </cell>
          <cell r="K49" t="str">
            <v>TÀI SẢN DÀI HẠN</v>
          </cell>
          <cell r="L49">
            <v>200</v>
          </cell>
          <cell r="M49" t="str">
            <v/>
          </cell>
          <cell r="N49">
            <v>62199136</v>
          </cell>
          <cell r="O49">
            <v>42213240</v>
          </cell>
          <cell r="R49" t="str">
            <v>B.</v>
          </cell>
          <cell r="S49" t="str">
            <v>NON-CURRENT ASSETS</v>
          </cell>
          <cell r="T49">
            <v>200</v>
          </cell>
          <cell r="U49" t="str">
            <v/>
          </cell>
          <cell r="V49">
            <v>1415030344</v>
          </cell>
          <cell r="W49">
            <v>947265106</v>
          </cell>
          <cell r="Y49" t="str">
            <v>B.</v>
          </cell>
          <cell r="Z49" t="str">
            <v>TÀI SẢN DÀI HẠN</v>
          </cell>
          <cell r="AA49">
            <v>200</v>
          </cell>
          <cell r="AB49" t="str">
            <v/>
          </cell>
          <cell r="AC49">
            <v>1415030344</v>
          </cell>
          <cell r="AD49">
            <v>947265106</v>
          </cell>
        </row>
        <row r="50">
          <cell r="J50" t="str">
            <v/>
          </cell>
          <cell r="M50" t="str">
            <v/>
          </cell>
          <cell r="Y50" t="str">
            <v/>
          </cell>
          <cell r="Z50" t="str">
            <v/>
          </cell>
          <cell r="AA50" t="str">
            <v/>
          </cell>
          <cell r="AB50" t="str">
            <v/>
          </cell>
        </row>
        <row r="51">
          <cell r="C51" t="str">
            <v>I.</v>
          </cell>
          <cell r="D51" t="str">
            <v>Long-term receivables</v>
          </cell>
          <cell r="E51">
            <v>210</v>
          </cell>
          <cell r="G51">
            <v>0</v>
          </cell>
          <cell r="H51">
            <v>0</v>
          </cell>
          <cell r="J51" t="str">
            <v>I.</v>
          </cell>
          <cell r="K51" t="str">
            <v>Các khoản phải thu dài hạn</v>
          </cell>
          <cell r="L51">
            <v>210</v>
          </cell>
          <cell r="M51" t="str">
            <v/>
          </cell>
          <cell r="N51">
            <v>0</v>
          </cell>
          <cell r="O51">
            <v>0</v>
          </cell>
          <cell r="R51" t="str">
            <v>I.</v>
          </cell>
          <cell r="S51" t="str">
            <v>Long-term receivables</v>
          </cell>
          <cell r="T51">
            <v>210</v>
          </cell>
          <cell r="U51" t="str">
            <v/>
          </cell>
          <cell r="V51">
            <v>0</v>
          </cell>
          <cell r="W51">
            <v>0</v>
          </cell>
          <cell r="Y51" t="str">
            <v>I.</v>
          </cell>
          <cell r="Z51" t="str">
            <v>Các khoản phải thu dài hạn</v>
          </cell>
          <cell r="AA51">
            <v>210</v>
          </cell>
          <cell r="AB51" t="str">
            <v/>
          </cell>
          <cell r="AC51">
            <v>0</v>
          </cell>
          <cell r="AD51">
            <v>0</v>
          </cell>
        </row>
        <row r="52">
          <cell r="D52" t="str">
            <v>▪ Long-term receivables from customers</v>
          </cell>
          <cell r="E52">
            <v>211</v>
          </cell>
          <cell r="F52" t="str">
            <v/>
          </cell>
          <cell r="G52">
            <v>0</v>
          </cell>
          <cell r="H52">
            <v>0</v>
          </cell>
          <cell r="J52" t="str">
            <v/>
          </cell>
          <cell r="K52" t="str">
            <v>▪ Phải thu dài hạn của khách hàng</v>
          </cell>
          <cell r="L52">
            <v>211</v>
          </cell>
          <cell r="M52" t="str">
            <v/>
          </cell>
          <cell r="N52">
            <v>0</v>
          </cell>
          <cell r="O52">
            <v>0</v>
          </cell>
          <cell r="R52" t="str">
            <v/>
          </cell>
          <cell r="S52" t="str">
            <v>▪ Long-term receivables from customers</v>
          </cell>
          <cell r="T52">
            <v>211</v>
          </cell>
          <cell r="U52" t="str">
            <v/>
          </cell>
          <cell r="V52">
            <v>0</v>
          </cell>
          <cell r="W52">
            <v>0</v>
          </cell>
          <cell r="Y52" t="str">
            <v/>
          </cell>
          <cell r="Z52" t="str">
            <v>▪ Phải thu dài hạn của khách hàng</v>
          </cell>
          <cell r="AA52">
            <v>211</v>
          </cell>
          <cell r="AB52" t="str">
            <v/>
          </cell>
          <cell r="AC52">
            <v>0</v>
          </cell>
          <cell r="AD52">
            <v>0</v>
          </cell>
        </row>
        <row r="53">
          <cell r="D53" t="str">
            <v>▪ Long-term advances to suppliers</v>
          </cell>
          <cell r="E53">
            <v>212</v>
          </cell>
          <cell r="F53" t="str">
            <v/>
          </cell>
          <cell r="G53">
            <v>0</v>
          </cell>
          <cell r="H53">
            <v>0</v>
          </cell>
          <cell r="K53" t="str">
            <v>▪ Trả trước cho người bán dài hạn</v>
          </cell>
          <cell r="L53">
            <v>212</v>
          </cell>
          <cell r="M53" t="str">
            <v/>
          </cell>
          <cell r="N53">
            <v>0</v>
          </cell>
          <cell r="O53">
            <v>0</v>
          </cell>
          <cell r="S53" t="str">
            <v>▪ Long-term advances to suppliers</v>
          </cell>
          <cell r="T53">
            <v>212</v>
          </cell>
          <cell r="V53">
            <v>0</v>
          </cell>
          <cell r="W53">
            <v>0</v>
          </cell>
          <cell r="Z53" t="str">
            <v>▪ Trả trước cho người bán dài hạn</v>
          </cell>
          <cell r="AA53">
            <v>212</v>
          </cell>
          <cell r="AC53">
            <v>0</v>
          </cell>
          <cell r="AD53">
            <v>0</v>
          </cell>
        </row>
        <row r="54">
          <cell r="D54" t="str">
            <v>▪ Working capital provided to subordinate
   units</v>
          </cell>
          <cell r="E54">
            <v>213</v>
          </cell>
          <cell r="F54" t="str">
            <v/>
          </cell>
          <cell r="G54">
            <v>0</v>
          </cell>
          <cell r="H54">
            <v>0</v>
          </cell>
          <cell r="J54" t="str">
            <v/>
          </cell>
          <cell r="K54" t="str">
            <v>▪ Vốn kinh doanh ở đơn vị 
  trực thuộc</v>
          </cell>
          <cell r="L54">
            <v>213</v>
          </cell>
          <cell r="M54" t="str">
            <v/>
          </cell>
          <cell r="N54">
            <v>0</v>
          </cell>
          <cell r="O54">
            <v>0</v>
          </cell>
          <cell r="R54" t="str">
            <v/>
          </cell>
          <cell r="S54" t="str">
            <v>▪ Working capital provided to subordinate
   units</v>
          </cell>
          <cell r="T54">
            <v>213</v>
          </cell>
          <cell r="U54" t="str">
            <v/>
          </cell>
          <cell r="V54">
            <v>0</v>
          </cell>
          <cell r="W54">
            <v>0</v>
          </cell>
          <cell r="Y54" t="str">
            <v/>
          </cell>
          <cell r="Z54" t="str">
            <v>▪ Vốn kinh doanh ở đơn vị 
  trực thuộc</v>
          </cell>
          <cell r="AA54">
            <v>213</v>
          </cell>
          <cell r="AB54" t="str">
            <v/>
          </cell>
          <cell r="AC54">
            <v>0</v>
          </cell>
          <cell r="AD54">
            <v>0</v>
          </cell>
        </row>
        <row r="55">
          <cell r="D55" t="str">
            <v>▪ Long-term inter-company receivables</v>
          </cell>
          <cell r="E55">
            <v>214</v>
          </cell>
          <cell r="F55" t="str">
            <v/>
          </cell>
          <cell r="G55">
            <v>0</v>
          </cell>
          <cell r="H55">
            <v>0</v>
          </cell>
          <cell r="J55" t="str">
            <v/>
          </cell>
          <cell r="K55" t="str">
            <v>▪ Phải thu nội bộ dài hạn</v>
          </cell>
          <cell r="L55">
            <v>214</v>
          </cell>
          <cell r="M55" t="str">
            <v/>
          </cell>
          <cell r="N55">
            <v>0</v>
          </cell>
          <cell r="O55">
            <v>0</v>
          </cell>
          <cell r="R55" t="str">
            <v/>
          </cell>
          <cell r="S55" t="str">
            <v>▪ Long-term inter-company receivables</v>
          </cell>
          <cell r="T55">
            <v>214</v>
          </cell>
          <cell r="U55" t="str">
            <v/>
          </cell>
          <cell r="V55">
            <v>0</v>
          </cell>
          <cell r="W55">
            <v>0</v>
          </cell>
          <cell r="Y55" t="str">
            <v/>
          </cell>
          <cell r="Z55" t="str">
            <v>▪ Phải thu nội bộ dài hạn</v>
          </cell>
          <cell r="AA55">
            <v>214</v>
          </cell>
          <cell r="AB55" t="str">
            <v/>
          </cell>
          <cell r="AC55">
            <v>0</v>
          </cell>
          <cell r="AD55">
            <v>0</v>
          </cell>
        </row>
        <row r="56">
          <cell r="D56" t="str">
            <v>▪ Long-term loans receivables</v>
          </cell>
          <cell r="E56">
            <v>215</v>
          </cell>
          <cell r="F56" t="str">
            <v/>
          </cell>
          <cell r="G56">
            <v>0</v>
          </cell>
          <cell r="H56">
            <v>0</v>
          </cell>
          <cell r="K56" t="str">
            <v>▪ Phải thu về cho vay dài hạn</v>
          </cell>
          <cell r="L56">
            <v>215</v>
          </cell>
          <cell r="M56" t="str">
            <v/>
          </cell>
          <cell r="N56">
            <v>0</v>
          </cell>
          <cell r="O56">
            <v>0</v>
          </cell>
          <cell r="S56" t="str">
            <v>▪ Long-term loans receivables</v>
          </cell>
          <cell r="T56">
            <v>215</v>
          </cell>
          <cell r="V56">
            <v>0</v>
          </cell>
          <cell r="W56">
            <v>0</v>
          </cell>
          <cell r="Z56" t="str">
            <v>▪ Phải thu về cho vay dài hạn</v>
          </cell>
          <cell r="AA56">
            <v>215</v>
          </cell>
          <cell r="AC56">
            <v>0</v>
          </cell>
          <cell r="AD56">
            <v>0</v>
          </cell>
        </row>
        <row r="57">
          <cell r="D57" t="str">
            <v>▪ Other long-term receivables</v>
          </cell>
          <cell r="E57">
            <v>216</v>
          </cell>
          <cell r="F57" t="str">
            <v/>
          </cell>
          <cell r="G57">
            <v>0</v>
          </cell>
          <cell r="H57">
            <v>0</v>
          </cell>
          <cell r="J57" t="str">
            <v/>
          </cell>
          <cell r="K57" t="str">
            <v>▪ Phải thu dài hạn khác</v>
          </cell>
          <cell r="L57">
            <v>216</v>
          </cell>
          <cell r="M57" t="str">
            <v/>
          </cell>
          <cell r="N57">
            <v>0</v>
          </cell>
          <cell r="O57">
            <v>0</v>
          </cell>
          <cell r="R57" t="str">
            <v/>
          </cell>
          <cell r="S57" t="str">
            <v>▪ Other long-term receivables</v>
          </cell>
          <cell r="T57">
            <v>216</v>
          </cell>
          <cell r="U57" t="str">
            <v/>
          </cell>
          <cell r="V57">
            <v>0</v>
          </cell>
          <cell r="W57">
            <v>0</v>
          </cell>
          <cell r="Y57" t="str">
            <v/>
          </cell>
          <cell r="Z57" t="str">
            <v>▪ Phải thu dài hạn khác</v>
          </cell>
          <cell r="AA57">
            <v>216</v>
          </cell>
          <cell r="AB57" t="str">
            <v/>
          </cell>
          <cell r="AC57">
            <v>0</v>
          </cell>
          <cell r="AD57">
            <v>0</v>
          </cell>
        </row>
        <row r="58">
          <cell r="D58" t="str">
            <v>▪ Provision for long-term doubtful debts</v>
          </cell>
          <cell r="E58">
            <v>219</v>
          </cell>
          <cell r="F58" t="str">
            <v/>
          </cell>
          <cell r="G58">
            <v>0</v>
          </cell>
          <cell r="H58">
            <v>0</v>
          </cell>
          <cell r="J58" t="str">
            <v/>
          </cell>
          <cell r="K58" t="str">
            <v xml:space="preserve">▪ Dự phòng phải thu dài hạn khó đòi </v>
          </cell>
          <cell r="L58">
            <v>219</v>
          </cell>
          <cell r="M58" t="str">
            <v/>
          </cell>
          <cell r="N58">
            <v>0</v>
          </cell>
          <cell r="O58">
            <v>0</v>
          </cell>
          <cell r="R58" t="str">
            <v/>
          </cell>
          <cell r="S58" t="str">
            <v>▪ Provision for long-term doubtful debts</v>
          </cell>
          <cell r="T58">
            <v>219</v>
          </cell>
          <cell r="U58" t="str">
            <v/>
          </cell>
          <cell r="V58">
            <v>0</v>
          </cell>
          <cell r="W58">
            <v>0</v>
          </cell>
          <cell r="Y58" t="str">
            <v/>
          </cell>
          <cell r="Z58" t="str">
            <v xml:space="preserve">▪ Dự phòng phải thu dài hạn khó đòi </v>
          </cell>
          <cell r="AA58">
            <v>219</v>
          </cell>
          <cell r="AB58" t="str">
            <v/>
          </cell>
          <cell r="AC58">
            <v>0</v>
          </cell>
          <cell r="AD58">
            <v>0</v>
          </cell>
        </row>
        <row r="59">
          <cell r="J59" t="str">
            <v/>
          </cell>
          <cell r="M59" t="str">
            <v/>
          </cell>
          <cell r="Y59" t="str">
            <v/>
          </cell>
          <cell r="Z59" t="str">
            <v/>
          </cell>
          <cell r="AA59" t="str">
            <v/>
          </cell>
          <cell r="AB59" t="str">
            <v/>
          </cell>
        </row>
        <row r="60">
          <cell r="C60" t="str">
            <v>II.</v>
          </cell>
          <cell r="D60" t="str">
            <v>Fixed assets</v>
          </cell>
          <cell r="E60">
            <v>220</v>
          </cell>
          <cell r="G60">
            <v>1037642</v>
          </cell>
          <cell r="H60">
            <v>10867634</v>
          </cell>
          <cell r="J60" t="str">
            <v>II.</v>
          </cell>
          <cell r="K60" t="str">
            <v>Tài sản cố định</v>
          </cell>
          <cell r="L60">
            <v>220</v>
          </cell>
          <cell r="M60" t="str">
            <v/>
          </cell>
          <cell r="N60">
            <v>1037642</v>
          </cell>
          <cell r="O60">
            <v>10867634</v>
          </cell>
          <cell r="R60" t="str">
            <v>II.</v>
          </cell>
          <cell r="S60" t="str">
            <v>Fixed assets</v>
          </cell>
          <cell r="T60">
            <v>220</v>
          </cell>
          <cell r="U60" t="str">
            <v/>
          </cell>
          <cell r="V60">
            <v>23606355</v>
          </cell>
          <cell r="W60">
            <v>243869707</v>
          </cell>
          <cell r="Y60" t="str">
            <v>II.</v>
          </cell>
          <cell r="Z60" t="str">
            <v>Tài sản cố định</v>
          </cell>
          <cell r="AA60">
            <v>220</v>
          </cell>
          <cell r="AB60" t="str">
            <v/>
          </cell>
          <cell r="AC60">
            <v>23606355</v>
          </cell>
          <cell r="AD60">
            <v>243869707</v>
          </cell>
        </row>
        <row r="61">
          <cell r="D61" t="str">
            <v>▪ Tangible fixed assets</v>
          </cell>
          <cell r="E61">
            <v>221</v>
          </cell>
          <cell r="F61">
            <v>11</v>
          </cell>
          <cell r="G61">
            <v>1037642</v>
          </cell>
          <cell r="H61">
            <v>10867634</v>
          </cell>
          <cell r="J61" t="str">
            <v/>
          </cell>
          <cell r="K61" t="str">
            <v>▪ Tài sản cố định hữu hình</v>
          </cell>
          <cell r="L61">
            <v>221</v>
          </cell>
          <cell r="M61">
            <v>11</v>
          </cell>
          <cell r="N61">
            <v>1037642</v>
          </cell>
          <cell r="O61">
            <v>10867634</v>
          </cell>
          <cell r="R61" t="str">
            <v/>
          </cell>
          <cell r="S61" t="str">
            <v>▪ Tangible fixed assets</v>
          </cell>
          <cell r="T61">
            <v>221</v>
          </cell>
          <cell r="U61">
            <v>11</v>
          </cell>
          <cell r="V61">
            <v>23606355</v>
          </cell>
          <cell r="W61">
            <v>243869707</v>
          </cell>
          <cell r="Y61" t="str">
            <v/>
          </cell>
          <cell r="Z61" t="str">
            <v>▪ Tài sản cố định hữu hình</v>
          </cell>
          <cell r="AA61">
            <v>221</v>
          </cell>
          <cell r="AB61">
            <v>11</v>
          </cell>
          <cell r="AC61">
            <v>23606355</v>
          </cell>
          <cell r="AD61">
            <v>243869707</v>
          </cell>
        </row>
        <row r="62">
          <cell r="D62" t="str">
            <v xml:space="preserve"> - Historical cost</v>
          </cell>
          <cell r="E62">
            <v>222</v>
          </cell>
          <cell r="G62">
            <v>39320000</v>
          </cell>
          <cell r="H62">
            <v>39320000</v>
          </cell>
          <cell r="J62" t="str">
            <v/>
          </cell>
          <cell r="K62" t="str">
            <v xml:space="preserve">  - Nguyên giá</v>
          </cell>
          <cell r="L62">
            <v>222</v>
          </cell>
          <cell r="M62" t="str">
            <v/>
          </cell>
          <cell r="N62">
            <v>39320000</v>
          </cell>
          <cell r="O62">
            <v>39320000</v>
          </cell>
          <cell r="R62" t="str">
            <v/>
          </cell>
          <cell r="S62" t="str">
            <v xml:space="preserve"> - Historical cost</v>
          </cell>
          <cell r="T62">
            <v>222</v>
          </cell>
          <cell r="U62" t="str">
            <v/>
          </cell>
          <cell r="V62">
            <v>894530000</v>
          </cell>
          <cell r="W62">
            <v>882340800</v>
          </cell>
          <cell r="Y62" t="str">
            <v/>
          </cell>
          <cell r="Z62" t="str">
            <v xml:space="preserve">  - Nguyên giá</v>
          </cell>
          <cell r="AA62">
            <v>222</v>
          </cell>
          <cell r="AB62" t="str">
            <v/>
          </cell>
          <cell r="AC62">
            <v>894530000</v>
          </cell>
          <cell r="AD62">
            <v>882340800</v>
          </cell>
        </row>
        <row r="63">
          <cell r="D63" t="str">
            <v xml:space="preserve"> - Accumulated depreciation</v>
          </cell>
          <cell r="E63">
            <v>223</v>
          </cell>
          <cell r="G63">
            <v>-38282358</v>
          </cell>
          <cell r="H63">
            <v>-28452366</v>
          </cell>
          <cell r="J63" t="str">
            <v/>
          </cell>
          <cell r="K63" t="str">
            <v xml:space="preserve">  - Giá trị hao mòn lũy kế</v>
          </cell>
          <cell r="L63">
            <v>223</v>
          </cell>
          <cell r="M63" t="str">
            <v/>
          </cell>
          <cell r="N63">
            <v>-38282358</v>
          </cell>
          <cell r="O63">
            <v>-28452366</v>
          </cell>
          <cell r="R63" t="str">
            <v/>
          </cell>
          <cell r="S63" t="str">
            <v xml:space="preserve"> - Accumulated depreciation</v>
          </cell>
          <cell r="T63">
            <v>223</v>
          </cell>
          <cell r="U63" t="str">
            <v/>
          </cell>
          <cell r="V63">
            <v>-870923645</v>
          </cell>
          <cell r="W63">
            <v>-638471093</v>
          </cell>
          <cell r="Y63" t="str">
            <v/>
          </cell>
          <cell r="Z63" t="str">
            <v xml:space="preserve">  - Giá trị hao mòn lũy kế</v>
          </cell>
          <cell r="AA63">
            <v>223</v>
          </cell>
          <cell r="AB63" t="str">
            <v/>
          </cell>
          <cell r="AC63">
            <v>-870923645</v>
          </cell>
          <cell r="AD63">
            <v>-638471093</v>
          </cell>
        </row>
        <row r="64">
          <cell r="D64" t="str">
            <v>▪ Finance leased fixed assets</v>
          </cell>
          <cell r="E64">
            <v>224</v>
          </cell>
          <cell r="G64">
            <v>0</v>
          </cell>
          <cell r="H64">
            <v>0</v>
          </cell>
          <cell r="J64" t="str">
            <v/>
          </cell>
          <cell r="K64" t="str">
            <v>▪ Tài sản cố định thuê tài chính</v>
          </cell>
          <cell r="L64">
            <v>224</v>
          </cell>
          <cell r="M64" t="str">
            <v/>
          </cell>
          <cell r="N64">
            <v>0</v>
          </cell>
          <cell r="O64">
            <v>0</v>
          </cell>
          <cell r="R64" t="str">
            <v/>
          </cell>
          <cell r="S64" t="str">
            <v>▪ Finance leased fixed assets</v>
          </cell>
          <cell r="T64">
            <v>224</v>
          </cell>
          <cell r="U64" t="str">
            <v/>
          </cell>
          <cell r="V64">
            <v>0</v>
          </cell>
          <cell r="W64">
            <v>0</v>
          </cell>
          <cell r="Y64" t="str">
            <v/>
          </cell>
          <cell r="Z64" t="str">
            <v>▪ Tài sản cố định thuê tài chính</v>
          </cell>
          <cell r="AA64">
            <v>224</v>
          </cell>
          <cell r="AB64" t="str">
            <v/>
          </cell>
          <cell r="AC64">
            <v>0</v>
          </cell>
          <cell r="AD64">
            <v>0</v>
          </cell>
        </row>
        <row r="65">
          <cell r="D65" t="str">
            <v xml:space="preserve"> - Historical cost</v>
          </cell>
          <cell r="E65">
            <v>225</v>
          </cell>
          <cell r="G65">
            <v>0</v>
          </cell>
          <cell r="H65">
            <v>0</v>
          </cell>
          <cell r="J65" t="str">
            <v/>
          </cell>
          <cell r="K65" t="str">
            <v xml:space="preserve">  - Nguyên giá</v>
          </cell>
          <cell r="L65">
            <v>225</v>
          </cell>
          <cell r="M65" t="str">
            <v/>
          </cell>
          <cell r="N65">
            <v>0</v>
          </cell>
          <cell r="O65">
            <v>0</v>
          </cell>
          <cell r="R65" t="str">
            <v/>
          </cell>
          <cell r="S65" t="str">
            <v xml:space="preserve"> - Historical cost</v>
          </cell>
          <cell r="T65">
            <v>225</v>
          </cell>
          <cell r="U65" t="str">
            <v/>
          </cell>
          <cell r="V65">
            <v>0</v>
          </cell>
          <cell r="W65">
            <v>0</v>
          </cell>
          <cell r="Y65" t="str">
            <v/>
          </cell>
          <cell r="Z65" t="str">
            <v xml:space="preserve">  - Nguyên giá</v>
          </cell>
          <cell r="AA65">
            <v>225</v>
          </cell>
          <cell r="AB65" t="str">
            <v/>
          </cell>
          <cell r="AC65">
            <v>0</v>
          </cell>
          <cell r="AD65">
            <v>0</v>
          </cell>
        </row>
        <row r="66">
          <cell r="D66" t="str">
            <v xml:space="preserve"> - Accumulated depreciation</v>
          </cell>
          <cell r="E66">
            <v>226</v>
          </cell>
          <cell r="G66">
            <v>0</v>
          </cell>
          <cell r="H66">
            <v>0</v>
          </cell>
          <cell r="J66" t="str">
            <v/>
          </cell>
          <cell r="K66" t="str">
            <v xml:space="preserve">  - Giá trị hao mòn lũy kế</v>
          </cell>
          <cell r="L66">
            <v>226</v>
          </cell>
          <cell r="M66" t="str">
            <v/>
          </cell>
          <cell r="N66">
            <v>0</v>
          </cell>
          <cell r="O66">
            <v>0</v>
          </cell>
          <cell r="R66" t="str">
            <v/>
          </cell>
          <cell r="S66" t="str">
            <v xml:space="preserve"> - Accumulated depreciation</v>
          </cell>
          <cell r="T66">
            <v>226</v>
          </cell>
          <cell r="U66" t="str">
            <v/>
          </cell>
          <cell r="V66">
            <v>0</v>
          </cell>
          <cell r="W66">
            <v>0</v>
          </cell>
          <cell r="Y66" t="str">
            <v/>
          </cell>
          <cell r="Z66" t="str">
            <v xml:space="preserve">  - Giá trị hao mòn lũy kế</v>
          </cell>
          <cell r="AA66">
            <v>226</v>
          </cell>
          <cell r="AB66" t="str">
            <v/>
          </cell>
          <cell r="AC66">
            <v>0</v>
          </cell>
          <cell r="AD66">
            <v>0</v>
          </cell>
        </row>
        <row r="67">
          <cell r="D67" t="str">
            <v>▪ Intangible fixed assets</v>
          </cell>
          <cell r="E67">
            <v>227</v>
          </cell>
          <cell r="F67" t="str">
            <v/>
          </cell>
          <cell r="G67">
            <v>0</v>
          </cell>
          <cell r="H67">
            <v>0</v>
          </cell>
          <cell r="J67" t="str">
            <v/>
          </cell>
          <cell r="K67" t="str">
            <v>▪ Tài sản cố định vô hình</v>
          </cell>
          <cell r="L67">
            <v>227</v>
          </cell>
          <cell r="M67" t="str">
            <v/>
          </cell>
          <cell r="N67">
            <v>0</v>
          </cell>
          <cell r="O67">
            <v>0</v>
          </cell>
          <cell r="R67" t="str">
            <v/>
          </cell>
          <cell r="S67" t="str">
            <v>▪ Intangible fixed assets</v>
          </cell>
          <cell r="T67">
            <v>227</v>
          </cell>
          <cell r="U67" t="str">
            <v/>
          </cell>
          <cell r="V67">
            <v>0</v>
          </cell>
          <cell r="W67">
            <v>0</v>
          </cell>
          <cell r="Y67" t="str">
            <v/>
          </cell>
          <cell r="Z67" t="str">
            <v>▪ Tài sản cố định vô hình</v>
          </cell>
          <cell r="AA67">
            <v>227</v>
          </cell>
          <cell r="AB67" t="str">
            <v/>
          </cell>
          <cell r="AC67">
            <v>0</v>
          </cell>
          <cell r="AD67">
            <v>0</v>
          </cell>
        </row>
        <row r="68">
          <cell r="D68" t="str">
            <v xml:space="preserve"> - Historical cost</v>
          </cell>
          <cell r="E68">
            <v>228</v>
          </cell>
          <cell r="G68">
            <v>0</v>
          </cell>
          <cell r="H68">
            <v>0</v>
          </cell>
          <cell r="J68" t="str">
            <v/>
          </cell>
          <cell r="K68" t="str">
            <v xml:space="preserve">  - Nguyên giá</v>
          </cell>
          <cell r="L68">
            <v>228</v>
          </cell>
          <cell r="M68" t="str">
            <v/>
          </cell>
          <cell r="N68">
            <v>0</v>
          </cell>
          <cell r="O68">
            <v>0</v>
          </cell>
          <cell r="R68" t="str">
            <v/>
          </cell>
          <cell r="S68" t="str">
            <v xml:space="preserve"> - Historical cost</v>
          </cell>
          <cell r="T68">
            <v>228</v>
          </cell>
          <cell r="U68" t="str">
            <v/>
          </cell>
          <cell r="V68">
            <v>0</v>
          </cell>
          <cell r="W68">
            <v>0</v>
          </cell>
          <cell r="Y68" t="str">
            <v/>
          </cell>
          <cell r="Z68" t="str">
            <v xml:space="preserve">  - Nguyên giá</v>
          </cell>
          <cell r="AA68">
            <v>228</v>
          </cell>
          <cell r="AB68" t="str">
            <v/>
          </cell>
          <cell r="AC68">
            <v>0</v>
          </cell>
          <cell r="AD68">
            <v>0</v>
          </cell>
        </row>
        <row r="69">
          <cell r="D69" t="str">
            <v xml:space="preserve"> - Accumulated amortisation</v>
          </cell>
          <cell r="E69">
            <v>229</v>
          </cell>
          <cell r="G69">
            <v>0</v>
          </cell>
          <cell r="H69">
            <v>0</v>
          </cell>
          <cell r="J69" t="str">
            <v/>
          </cell>
          <cell r="K69" t="str">
            <v xml:space="preserve">  - Giá trị hao mòn lũy kế</v>
          </cell>
          <cell r="L69">
            <v>229</v>
          </cell>
          <cell r="M69" t="str">
            <v/>
          </cell>
          <cell r="N69">
            <v>0</v>
          </cell>
          <cell r="O69">
            <v>0</v>
          </cell>
          <cell r="R69" t="str">
            <v/>
          </cell>
          <cell r="S69" t="str">
            <v xml:space="preserve"> - Accumulated amortisation</v>
          </cell>
          <cell r="T69">
            <v>229</v>
          </cell>
          <cell r="U69" t="str">
            <v/>
          </cell>
          <cell r="V69">
            <v>0</v>
          </cell>
          <cell r="W69">
            <v>0</v>
          </cell>
          <cell r="Y69" t="str">
            <v/>
          </cell>
          <cell r="Z69" t="str">
            <v xml:space="preserve">  - Giá trị hao mòn lũy kế</v>
          </cell>
          <cell r="AA69">
            <v>229</v>
          </cell>
          <cell r="AB69" t="str">
            <v/>
          </cell>
          <cell r="AC69">
            <v>0</v>
          </cell>
          <cell r="AD69">
            <v>0</v>
          </cell>
        </row>
        <row r="70">
          <cell r="J70" t="str">
            <v/>
          </cell>
          <cell r="M70" t="str">
            <v/>
          </cell>
          <cell r="Y70" t="str">
            <v/>
          </cell>
          <cell r="Z70" t="str">
            <v/>
          </cell>
          <cell r="AA70" t="str">
            <v/>
          </cell>
          <cell r="AB70" t="str">
            <v/>
          </cell>
        </row>
        <row r="71">
          <cell r="C71" t="str">
            <v>III.</v>
          </cell>
          <cell r="D71" t="str">
            <v>Investment properties</v>
          </cell>
          <cell r="E71">
            <v>230</v>
          </cell>
          <cell r="F71" t="str">
            <v/>
          </cell>
          <cell r="G71">
            <v>0</v>
          </cell>
          <cell r="H71">
            <v>0</v>
          </cell>
          <cell r="J71" t="str">
            <v>III.</v>
          </cell>
          <cell r="K71" t="str">
            <v>Bất động sản đầu tư</v>
          </cell>
          <cell r="L71">
            <v>230</v>
          </cell>
          <cell r="M71" t="str">
            <v/>
          </cell>
          <cell r="N71">
            <v>0</v>
          </cell>
          <cell r="O71">
            <v>0</v>
          </cell>
          <cell r="R71" t="str">
            <v>III.</v>
          </cell>
          <cell r="S71" t="str">
            <v>Investment properties</v>
          </cell>
          <cell r="T71">
            <v>230</v>
          </cell>
          <cell r="U71" t="str">
            <v/>
          </cell>
          <cell r="V71">
            <v>0</v>
          </cell>
          <cell r="W71">
            <v>0</v>
          </cell>
          <cell r="Y71" t="str">
            <v>III.</v>
          </cell>
          <cell r="Z71" t="str">
            <v>Bất động sản đầu tư</v>
          </cell>
          <cell r="AA71">
            <v>230</v>
          </cell>
          <cell r="AB71" t="str">
            <v/>
          </cell>
          <cell r="AC71">
            <v>0</v>
          </cell>
          <cell r="AD71">
            <v>0</v>
          </cell>
        </row>
        <row r="72">
          <cell r="D72" t="str">
            <v>▪ Historical cost</v>
          </cell>
          <cell r="E72">
            <v>231</v>
          </cell>
          <cell r="G72">
            <v>0</v>
          </cell>
          <cell r="H72">
            <v>0</v>
          </cell>
          <cell r="J72" t="str">
            <v/>
          </cell>
          <cell r="K72" t="str">
            <v>▪ Nguyên giá</v>
          </cell>
          <cell r="L72">
            <v>231</v>
          </cell>
          <cell r="M72" t="str">
            <v/>
          </cell>
          <cell r="N72">
            <v>0</v>
          </cell>
          <cell r="O72">
            <v>0</v>
          </cell>
          <cell r="R72" t="str">
            <v/>
          </cell>
          <cell r="S72" t="str">
            <v>▪ Historical cost</v>
          </cell>
          <cell r="T72">
            <v>231</v>
          </cell>
          <cell r="U72" t="str">
            <v/>
          </cell>
          <cell r="V72">
            <v>0</v>
          </cell>
          <cell r="W72">
            <v>0</v>
          </cell>
          <cell r="Y72" t="str">
            <v/>
          </cell>
          <cell r="Z72" t="str">
            <v>▪ Nguyên giá</v>
          </cell>
          <cell r="AA72">
            <v>231</v>
          </cell>
          <cell r="AB72" t="str">
            <v/>
          </cell>
          <cell r="AC72">
            <v>0</v>
          </cell>
          <cell r="AD72">
            <v>0</v>
          </cell>
        </row>
        <row r="73">
          <cell r="D73" t="str">
            <v>▪ Accumulated depreciation</v>
          </cell>
          <cell r="E73">
            <v>232</v>
          </cell>
          <cell r="G73">
            <v>0</v>
          </cell>
          <cell r="H73">
            <v>0</v>
          </cell>
          <cell r="J73" t="str">
            <v/>
          </cell>
          <cell r="K73" t="str">
            <v>▪ Giá trị hao mòn lũy kế</v>
          </cell>
          <cell r="L73">
            <v>232</v>
          </cell>
          <cell r="M73" t="str">
            <v/>
          </cell>
          <cell r="N73">
            <v>0</v>
          </cell>
          <cell r="O73">
            <v>0</v>
          </cell>
          <cell r="R73" t="str">
            <v/>
          </cell>
          <cell r="S73" t="str">
            <v>▪ Accumulated depreciation</v>
          </cell>
          <cell r="T73">
            <v>232</v>
          </cell>
          <cell r="U73" t="str">
            <v/>
          </cell>
          <cell r="V73">
            <v>0</v>
          </cell>
          <cell r="W73">
            <v>0</v>
          </cell>
          <cell r="Y73" t="str">
            <v/>
          </cell>
          <cell r="Z73" t="str">
            <v>▪ Giá trị hao mòn lũy kế</v>
          </cell>
          <cell r="AA73">
            <v>232</v>
          </cell>
          <cell r="AB73" t="str">
            <v/>
          </cell>
          <cell r="AC73">
            <v>0</v>
          </cell>
          <cell r="AD73">
            <v>0</v>
          </cell>
        </row>
        <row r="74">
          <cell r="J74" t="str">
            <v/>
          </cell>
          <cell r="M74" t="str">
            <v/>
          </cell>
          <cell r="Y74" t="str">
            <v/>
          </cell>
          <cell r="Z74" t="str">
            <v/>
          </cell>
          <cell r="AA74" t="str">
            <v/>
          </cell>
          <cell r="AB74" t="str">
            <v/>
          </cell>
        </row>
        <row r="75">
          <cell r="C75" t="str">
            <v>IV.</v>
          </cell>
          <cell r="D75" t="str">
            <v>Long-term assets in progress</v>
          </cell>
          <cell r="E75">
            <v>240</v>
          </cell>
          <cell r="G75">
            <v>0</v>
          </cell>
          <cell r="H75">
            <v>0</v>
          </cell>
          <cell r="J75" t="str">
            <v>IV.</v>
          </cell>
          <cell r="K75" t="str">
            <v>Tài sản dở dang dài hạn</v>
          </cell>
          <cell r="L75">
            <v>240</v>
          </cell>
          <cell r="M75" t="str">
            <v/>
          </cell>
          <cell r="N75">
            <v>0</v>
          </cell>
          <cell r="O75">
            <v>0</v>
          </cell>
          <cell r="R75" t="str">
            <v>IV.</v>
          </cell>
          <cell r="S75" t="str">
            <v>Long-term assets in progress</v>
          </cell>
          <cell r="T75">
            <v>240</v>
          </cell>
          <cell r="V75">
            <v>0</v>
          </cell>
          <cell r="W75">
            <v>0</v>
          </cell>
          <cell r="Y75" t="str">
            <v>IV.</v>
          </cell>
          <cell r="Z75" t="str">
            <v>Tài sản dở dang dài hạn</v>
          </cell>
          <cell r="AA75">
            <v>240</v>
          </cell>
          <cell r="AC75">
            <v>0</v>
          </cell>
          <cell r="AD75">
            <v>0</v>
          </cell>
        </row>
        <row r="76">
          <cell r="D76" t="str">
            <v>▪ Long-term work in progress</v>
          </cell>
          <cell r="E76">
            <v>241</v>
          </cell>
          <cell r="F76" t="str">
            <v/>
          </cell>
          <cell r="G76">
            <v>0</v>
          </cell>
          <cell r="H76">
            <v>0</v>
          </cell>
          <cell r="K76" t="str">
            <v>▪ Chi phí sản xuất, kinh doanh dở dang 
dài hạn</v>
          </cell>
          <cell r="L76">
            <v>241</v>
          </cell>
          <cell r="M76" t="str">
            <v/>
          </cell>
          <cell r="N76">
            <v>0</v>
          </cell>
          <cell r="O76">
            <v>0</v>
          </cell>
          <cell r="S76" t="str">
            <v>▪ Long-term work in progress</v>
          </cell>
          <cell r="T76">
            <v>241</v>
          </cell>
          <cell r="U76" t="str">
            <v/>
          </cell>
          <cell r="V76">
            <v>0</v>
          </cell>
          <cell r="W76">
            <v>0</v>
          </cell>
          <cell r="Y76" t="str">
            <v/>
          </cell>
          <cell r="Z76" t="str">
            <v>▪ Chi phí sản xuất, kinh doanh dở dang 
dài hạn</v>
          </cell>
          <cell r="AA76">
            <v>241</v>
          </cell>
          <cell r="AB76" t="str">
            <v/>
          </cell>
          <cell r="AC76">
            <v>0</v>
          </cell>
          <cell r="AD76">
            <v>0</v>
          </cell>
        </row>
        <row r="78">
          <cell r="D78" t="str">
            <v>▪ Construction in progress</v>
          </cell>
          <cell r="E78">
            <v>242</v>
          </cell>
          <cell r="F78" t="str">
            <v/>
          </cell>
          <cell r="G78">
            <v>0</v>
          </cell>
          <cell r="H78">
            <v>0</v>
          </cell>
          <cell r="K78" t="str">
            <v>▪ Chi phí xây dựng cơ bản dở dang</v>
          </cell>
          <cell r="L78">
            <v>242</v>
          </cell>
          <cell r="M78" t="str">
            <v/>
          </cell>
          <cell r="N78">
            <v>0</v>
          </cell>
          <cell r="O78">
            <v>0</v>
          </cell>
          <cell r="S78" t="str">
            <v>▪ Construction in progress</v>
          </cell>
          <cell r="T78">
            <v>242</v>
          </cell>
          <cell r="U78" t="str">
            <v/>
          </cell>
          <cell r="V78">
            <v>0</v>
          </cell>
          <cell r="W78">
            <v>0</v>
          </cell>
          <cell r="Y78" t="str">
            <v/>
          </cell>
          <cell r="Z78" t="str">
            <v>▪ Chi phí xây dựng cơ bản dở dang</v>
          </cell>
          <cell r="AA78">
            <v>242</v>
          </cell>
          <cell r="AB78" t="str">
            <v/>
          </cell>
          <cell r="AC78">
            <v>0</v>
          </cell>
          <cell r="AD78">
            <v>0</v>
          </cell>
        </row>
        <row r="79">
          <cell r="M79" t="str">
            <v/>
          </cell>
        </row>
        <row r="80">
          <cell r="C80" t="str">
            <v>V.</v>
          </cell>
          <cell r="D80" t="str">
            <v xml:space="preserve">Long-term financial investments </v>
          </cell>
          <cell r="E80">
            <v>250</v>
          </cell>
          <cell r="G80">
            <v>0</v>
          </cell>
          <cell r="H80">
            <v>0</v>
          </cell>
          <cell r="J80" t="str">
            <v>V.</v>
          </cell>
          <cell r="K80" t="str">
            <v>Đầu tư tài chính dài hạn</v>
          </cell>
          <cell r="L80">
            <v>250</v>
          </cell>
          <cell r="M80" t="str">
            <v/>
          </cell>
          <cell r="N80">
            <v>0</v>
          </cell>
          <cell r="O80">
            <v>0</v>
          </cell>
          <cell r="R80" t="str">
            <v>V.</v>
          </cell>
          <cell r="S80" t="str">
            <v xml:space="preserve">Long-term financial investments </v>
          </cell>
          <cell r="T80">
            <v>250</v>
          </cell>
          <cell r="U80" t="str">
            <v/>
          </cell>
          <cell r="V80">
            <v>0</v>
          </cell>
          <cell r="W80">
            <v>0</v>
          </cell>
          <cell r="Y80" t="str">
            <v>V.</v>
          </cell>
          <cell r="Z80" t="str">
            <v>Đầu tư tài chính dài hạn</v>
          </cell>
          <cell r="AA80">
            <v>250</v>
          </cell>
          <cell r="AB80" t="str">
            <v/>
          </cell>
          <cell r="AC80">
            <v>0</v>
          </cell>
          <cell r="AD80">
            <v>0</v>
          </cell>
        </row>
        <row r="81">
          <cell r="D81" t="str">
            <v>▪ Investments in subsidiaries</v>
          </cell>
          <cell r="E81">
            <v>251</v>
          </cell>
          <cell r="F81" t="str">
            <v/>
          </cell>
          <cell r="G81">
            <v>0</v>
          </cell>
          <cell r="H81">
            <v>0</v>
          </cell>
          <cell r="J81" t="str">
            <v/>
          </cell>
          <cell r="K81" t="str">
            <v>▪ Đầu tư vào công ty con</v>
          </cell>
          <cell r="L81">
            <v>251</v>
          </cell>
          <cell r="M81" t="str">
            <v/>
          </cell>
          <cell r="N81">
            <v>0</v>
          </cell>
          <cell r="O81">
            <v>0</v>
          </cell>
          <cell r="R81" t="str">
            <v/>
          </cell>
          <cell r="S81" t="str">
            <v>▪ Investments in subsidiaries</v>
          </cell>
          <cell r="T81">
            <v>251</v>
          </cell>
          <cell r="U81" t="str">
            <v/>
          </cell>
          <cell r="V81">
            <v>0</v>
          </cell>
          <cell r="W81">
            <v>0</v>
          </cell>
          <cell r="Y81" t="str">
            <v/>
          </cell>
          <cell r="Z81" t="str">
            <v>▪ Đầu tư vào công ty con</v>
          </cell>
          <cell r="AA81">
            <v>251</v>
          </cell>
          <cell r="AB81" t="str">
            <v/>
          </cell>
          <cell r="AC81">
            <v>0</v>
          </cell>
          <cell r="AD81">
            <v>0</v>
          </cell>
        </row>
        <row r="82">
          <cell r="D82" t="str">
            <v>▪ Investments in associates and 
  joint-ventures</v>
          </cell>
          <cell r="E82">
            <v>252</v>
          </cell>
          <cell r="F82" t="str">
            <v/>
          </cell>
          <cell r="G82">
            <v>0</v>
          </cell>
          <cell r="H82">
            <v>0</v>
          </cell>
          <cell r="J82" t="str">
            <v/>
          </cell>
          <cell r="K82" t="str">
            <v>▪ Đầu tư vào công ty liên kết,
   liên doanh</v>
          </cell>
          <cell r="L82">
            <v>252</v>
          </cell>
          <cell r="M82" t="str">
            <v/>
          </cell>
          <cell r="N82">
            <v>0</v>
          </cell>
          <cell r="O82">
            <v>0</v>
          </cell>
          <cell r="R82" t="str">
            <v/>
          </cell>
          <cell r="S82" t="str">
            <v>▪ Investments in associates and 
  joint-ventures</v>
          </cell>
          <cell r="T82">
            <v>252</v>
          </cell>
          <cell r="U82" t="str">
            <v/>
          </cell>
          <cell r="V82">
            <v>0</v>
          </cell>
          <cell r="W82">
            <v>0</v>
          </cell>
          <cell r="Y82" t="str">
            <v/>
          </cell>
          <cell r="Z82" t="str">
            <v>▪ Đầu tư vào công ty liên kết,
   liên doanh</v>
          </cell>
          <cell r="AA82">
            <v>252</v>
          </cell>
          <cell r="AB82" t="str">
            <v/>
          </cell>
          <cell r="AC82">
            <v>0</v>
          </cell>
          <cell r="AD82">
            <v>0</v>
          </cell>
        </row>
        <row r="83">
          <cell r="D83" t="str">
            <v>▪ Investments in other entities</v>
          </cell>
          <cell r="E83">
            <v>253</v>
          </cell>
          <cell r="F83" t="str">
            <v/>
          </cell>
          <cell r="G83">
            <v>0</v>
          </cell>
          <cell r="H83">
            <v>0</v>
          </cell>
          <cell r="J83" t="str">
            <v/>
          </cell>
          <cell r="K83" t="str">
            <v>▪ Đầu tư góp vốn vào đơn vị khác</v>
          </cell>
          <cell r="L83">
            <v>253</v>
          </cell>
          <cell r="M83" t="str">
            <v/>
          </cell>
          <cell r="N83">
            <v>0</v>
          </cell>
          <cell r="O83">
            <v>0</v>
          </cell>
          <cell r="R83" t="str">
            <v/>
          </cell>
          <cell r="S83" t="str">
            <v>▪ Investments in other entities</v>
          </cell>
          <cell r="T83">
            <v>253</v>
          </cell>
          <cell r="U83" t="str">
            <v/>
          </cell>
          <cell r="V83">
            <v>0</v>
          </cell>
          <cell r="W83">
            <v>0</v>
          </cell>
          <cell r="Y83" t="str">
            <v/>
          </cell>
          <cell r="Z83" t="str">
            <v>▪ Đầu tư góp vốn vào đơn vị khác</v>
          </cell>
          <cell r="AA83">
            <v>253</v>
          </cell>
          <cell r="AB83" t="str">
            <v/>
          </cell>
          <cell r="AC83">
            <v>0</v>
          </cell>
          <cell r="AD83">
            <v>0</v>
          </cell>
        </row>
        <row r="84">
          <cell r="D84" t="str">
            <v>▪ Provision for devaluation of
  long-term investments</v>
          </cell>
          <cell r="E84">
            <v>254</v>
          </cell>
          <cell r="F84" t="str">
            <v/>
          </cell>
          <cell r="G84">
            <v>0</v>
          </cell>
          <cell r="H84">
            <v>0</v>
          </cell>
          <cell r="K84" t="str">
            <v>▪ Dự phòng giảm giá đầu tư tài chính
  dài hạn</v>
          </cell>
          <cell r="L84">
            <v>254</v>
          </cell>
          <cell r="M84" t="str">
            <v/>
          </cell>
          <cell r="N84">
            <v>0</v>
          </cell>
          <cell r="O84">
            <v>0</v>
          </cell>
          <cell r="S84" t="str">
            <v>▪ Provision for devaluation of
  long-term investments</v>
          </cell>
          <cell r="T84">
            <v>254</v>
          </cell>
          <cell r="V84">
            <v>0</v>
          </cell>
          <cell r="W84">
            <v>0</v>
          </cell>
          <cell r="Z84" t="str">
            <v>▪ Dự phòng giảm giá đầu tư tài chính
  dài hạn</v>
          </cell>
          <cell r="AA84">
            <v>254</v>
          </cell>
          <cell r="AC84">
            <v>0</v>
          </cell>
          <cell r="AD84">
            <v>0</v>
          </cell>
        </row>
        <row r="85">
          <cell r="D85" t="str">
            <v>▪ Investments held to maturity</v>
          </cell>
          <cell r="E85">
            <v>255</v>
          </cell>
          <cell r="F85" t="str">
            <v/>
          </cell>
          <cell r="G85">
            <v>0</v>
          </cell>
          <cell r="H85">
            <v>0</v>
          </cell>
          <cell r="J85" t="str">
            <v/>
          </cell>
          <cell r="K85" t="str">
            <v>▪ Đầu tư nắm giữ đến ngày đáo hạn</v>
          </cell>
          <cell r="L85">
            <v>255</v>
          </cell>
          <cell r="M85" t="str">
            <v/>
          </cell>
          <cell r="N85">
            <v>0</v>
          </cell>
          <cell r="O85">
            <v>0</v>
          </cell>
          <cell r="R85" t="str">
            <v/>
          </cell>
          <cell r="S85" t="str">
            <v>▪ Investments held to maturity</v>
          </cell>
          <cell r="T85">
            <v>255</v>
          </cell>
          <cell r="U85" t="str">
            <v/>
          </cell>
          <cell r="V85">
            <v>0</v>
          </cell>
          <cell r="W85">
            <v>0</v>
          </cell>
          <cell r="Y85" t="str">
            <v/>
          </cell>
          <cell r="Z85" t="str">
            <v>▪ Đầu tư nắm giữ đến ngày đáo hạn</v>
          </cell>
          <cell r="AA85">
            <v>255</v>
          </cell>
          <cell r="AB85" t="str">
            <v/>
          </cell>
          <cell r="AC85">
            <v>0</v>
          </cell>
          <cell r="AD85">
            <v>0</v>
          </cell>
        </row>
        <row r="86">
          <cell r="J86" t="str">
            <v/>
          </cell>
          <cell r="M86" t="str">
            <v/>
          </cell>
          <cell r="Y86" t="str">
            <v/>
          </cell>
          <cell r="Z86" t="str">
            <v/>
          </cell>
          <cell r="AA86" t="str">
            <v/>
          </cell>
          <cell r="AB86" t="str">
            <v/>
          </cell>
        </row>
        <row r="87">
          <cell r="C87" t="str">
            <v>VI.</v>
          </cell>
          <cell r="D87" t="str">
            <v>Other non-current assets</v>
          </cell>
          <cell r="E87">
            <v>260</v>
          </cell>
          <cell r="G87">
            <v>61161494</v>
          </cell>
          <cell r="H87">
            <v>31345606</v>
          </cell>
          <cell r="J87" t="str">
            <v>VI.</v>
          </cell>
          <cell r="K87" t="str">
            <v>Tài sản dài hạn khác</v>
          </cell>
          <cell r="L87">
            <v>260</v>
          </cell>
          <cell r="M87" t="str">
            <v/>
          </cell>
          <cell r="N87">
            <v>61161494</v>
          </cell>
          <cell r="O87">
            <v>31345606</v>
          </cell>
          <cell r="R87" t="str">
            <v>VI.</v>
          </cell>
          <cell r="S87" t="str">
            <v>Other non-current assets</v>
          </cell>
          <cell r="T87">
            <v>260</v>
          </cell>
          <cell r="U87" t="str">
            <v/>
          </cell>
          <cell r="V87">
            <v>1391423989</v>
          </cell>
          <cell r="W87">
            <v>703395399</v>
          </cell>
          <cell r="Y87" t="str">
            <v>VI.</v>
          </cell>
          <cell r="Z87" t="str">
            <v>Tài sản dài hạn khác</v>
          </cell>
          <cell r="AA87">
            <v>260</v>
          </cell>
          <cell r="AB87" t="str">
            <v/>
          </cell>
          <cell r="AC87">
            <v>1391423989</v>
          </cell>
          <cell r="AD87">
            <v>703395399</v>
          </cell>
        </row>
        <row r="88">
          <cell r="D88" t="str">
            <v>▪ Long-term prepaid expenses</v>
          </cell>
          <cell r="E88">
            <v>261</v>
          </cell>
          <cell r="F88">
            <v>10</v>
          </cell>
          <cell r="G88">
            <v>61161494</v>
          </cell>
          <cell r="H88">
            <v>31345606</v>
          </cell>
          <cell r="J88" t="str">
            <v/>
          </cell>
          <cell r="K88" t="str">
            <v>▪ Chi phí trả trước dài hạn</v>
          </cell>
          <cell r="L88">
            <v>261</v>
          </cell>
          <cell r="M88">
            <v>10</v>
          </cell>
          <cell r="N88">
            <v>61161494</v>
          </cell>
          <cell r="O88">
            <v>31345606</v>
          </cell>
          <cell r="R88" t="str">
            <v/>
          </cell>
          <cell r="S88" t="str">
            <v>▪ Long-term prepaid expenses</v>
          </cell>
          <cell r="T88">
            <v>261</v>
          </cell>
          <cell r="U88">
            <v>10</v>
          </cell>
          <cell r="V88">
            <v>1391423989</v>
          </cell>
          <cell r="W88">
            <v>703395399</v>
          </cell>
          <cell r="Y88" t="str">
            <v/>
          </cell>
          <cell r="Z88" t="str">
            <v>▪ Chi phí trả trước dài hạn</v>
          </cell>
          <cell r="AA88">
            <v>261</v>
          </cell>
          <cell r="AB88">
            <v>10</v>
          </cell>
          <cell r="AC88">
            <v>1391423989</v>
          </cell>
          <cell r="AD88">
            <v>703395399</v>
          </cell>
        </row>
        <row r="89">
          <cell r="D89" t="str">
            <v>▪ Deferred tax assets</v>
          </cell>
          <cell r="E89">
            <v>262</v>
          </cell>
          <cell r="F89" t="str">
            <v/>
          </cell>
          <cell r="G89">
            <v>0</v>
          </cell>
          <cell r="H89">
            <v>0</v>
          </cell>
          <cell r="J89" t="str">
            <v/>
          </cell>
          <cell r="K89" t="str">
            <v>▪ Tài sản thuế thu nhập hoãn lại</v>
          </cell>
          <cell r="L89">
            <v>262</v>
          </cell>
          <cell r="M89" t="str">
            <v/>
          </cell>
          <cell r="N89">
            <v>0</v>
          </cell>
          <cell r="O89">
            <v>0</v>
          </cell>
          <cell r="R89" t="str">
            <v/>
          </cell>
          <cell r="S89" t="str">
            <v>▪ Deferred tax assets</v>
          </cell>
          <cell r="T89">
            <v>262</v>
          </cell>
          <cell r="U89" t="str">
            <v/>
          </cell>
          <cell r="V89">
            <v>0</v>
          </cell>
          <cell r="W89">
            <v>0</v>
          </cell>
          <cell r="Y89" t="str">
            <v/>
          </cell>
          <cell r="Z89" t="str">
            <v>▪ Tài sản thuế thu nhập hoãn lại</v>
          </cell>
          <cell r="AA89">
            <v>262</v>
          </cell>
          <cell r="AB89" t="str">
            <v/>
          </cell>
          <cell r="AC89">
            <v>0</v>
          </cell>
          <cell r="AD89">
            <v>0</v>
          </cell>
        </row>
        <row r="90">
          <cell r="D90" t="str">
            <v>▪ Long-term tools, equipment and
  spare parts</v>
          </cell>
          <cell r="E90">
            <v>263</v>
          </cell>
          <cell r="F90" t="str">
            <v/>
          </cell>
          <cell r="G90">
            <v>0</v>
          </cell>
          <cell r="H90">
            <v>0</v>
          </cell>
          <cell r="K90" t="str">
            <v>▪ Thiết bị, vật tư, phụ tùng thay thế
   dài hạn</v>
          </cell>
          <cell r="L90">
            <v>263</v>
          </cell>
          <cell r="M90" t="str">
            <v/>
          </cell>
          <cell r="N90">
            <v>0</v>
          </cell>
          <cell r="O90">
            <v>0</v>
          </cell>
          <cell r="S90" t="str">
            <v>▪ Long-term tools, equipment and
  spare parts</v>
          </cell>
          <cell r="T90">
            <v>263</v>
          </cell>
          <cell r="U90" t="str">
            <v/>
          </cell>
          <cell r="V90">
            <v>0</v>
          </cell>
          <cell r="W90">
            <v>0</v>
          </cell>
          <cell r="Z90" t="str">
            <v>▪ Thiết bị, vật tư, phụ tùng thay thế
   dài hạn</v>
          </cell>
          <cell r="AA90">
            <v>263</v>
          </cell>
          <cell r="AB90" t="str">
            <v/>
          </cell>
          <cell r="AC90">
            <v>0</v>
          </cell>
          <cell r="AD90">
            <v>0</v>
          </cell>
        </row>
        <row r="91">
          <cell r="D91" t="str">
            <v>▪ Other long-term assets</v>
          </cell>
          <cell r="E91">
            <v>268</v>
          </cell>
          <cell r="F91" t="str">
            <v/>
          </cell>
          <cell r="G91">
            <v>0</v>
          </cell>
          <cell r="H91">
            <v>0</v>
          </cell>
          <cell r="J91" t="str">
            <v/>
          </cell>
          <cell r="K91" t="str">
            <v>▪ Tài sản dài hạn khác</v>
          </cell>
          <cell r="L91">
            <v>268</v>
          </cell>
          <cell r="M91" t="str">
            <v/>
          </cell>
          <cell r="N91">
            <v>0</v>
          </cell>
          <cell r="O91">
            <v>0</v>
          </cell>
          <cell r="R91" t="str">
            <v/>
          </cell>
          <cell r="S91" t="str">
            <v>▪ Other long-term assets</v>
          </cell>
          <cell r="T91">
            <v>268</v>
          </cell>
          <cell r="U91" t="str">
            <v/>
          </cell>
          <cell r="V91">
            <v>0</v>
          </cell>
          <cell r="W91">
            <v>0</v>
          </cell>
          <cell r="Y91" t="str">
            <v/>
          </cell>
          <cell r="Z91" t="str">
            <v>▪ Tài sản dài hạn khác</v>
          </cell>
          <cell r="AA91">
            <v>268</v>
          </cell>
          <cell r="AB91" t="str">
            <v/>
          </cell>
          <cell r="AC91">
            <v>0</v>
          </cell>
          <cell r="AD91">
            <v>0</v>
          </cell>
        </row>
        <row r="92">
          <cell r="D92" t="str">
            <v>▪ Goodwill</v>
          </cell>
          <cell r="E92">
            <v>269</v>
          </cell>
          <cell r="F92" t="str">
            <v/>
          </cell>
          <cell r="G92">
            <v>0</v>
          </cell>
          <cell r="H92">
            <v>0</v>
          </cell>
          <cell r="J92" t="str">
            <v/>
          </cell>
          <cell r="K92" t="str">
            <v>▪ Lợi thế thương mại</v>
          </cell>
          <cell r="L92">
            <v>269</v>
          </cell>
          <cell r="M92" t="str">
            <v/>
          </cell>
          <cell r="N92">
            <v>0</v>
          </cell>
          <cell r="O92">
            <v>0</v>
          </cell>
          <cell r="R92" t="str">
            <v/>
          </cell>
          <cell r="S92" t="str">
            <v>▪ Goodwill</v>
          </cell>
          <cell r="T92">
            <v>269</v>
          </cell>
          <cell r="U92" t="str">
            <v/>
          </cell>
          <cell r="V92">
            <v>0</v>
          </cell>
          <cell r="W92">
            <v>0</v>
          </cell>
          <cell r="Y92" t="str">
            <v/>
          </cell>
          <cell r="Z92" t="str">
            <v>▪ Lợi thế thương mại</v>
          </cell>
          <cell r="AA92">
            <v>269</v>
          </cell>
          <cell r="AB92" t="str">
            <v/>
          </cell>
          <cell r="AC92">
            <v>0</v>
          </cell>
          <cell r="AD92">
            <v>0</v>
          </cell>
        </row>
        <row r="93">
          <cell r="J93" t="str">
            <v/>
          </cell>
          <cell r="M93" t="str">
            <v/>
          </cell>
          <cell r="Y93" t="str">
            <v/>
          </cell>
          <cell r="Z93" t="str">
            <v/>
          </cell>
          <cell r="AA93" t="str">
            <v/>
          </cell>
          <cell r="AB93" t="str">
            <v/>
          </cell>
        </row>
        <row r="94">
          <cell r="C94" t="str">
            <v>TOTAL ASSETS</v>
          </cell>
          <cell r="E94">
            <v>270</v>
          </cell>
          <cell r="G94">
            <v>7801974514</v>
          </cell>
          <cell r="H94">
            <v>8500779311</v>
          </cell>
          <cell r="J94" t="str">
            <v>TỔNG CỘNG TÀI SẢN</v>
          </cell>
          <cell r="L94">
            <v>270</v>
          </cell>
          <cell r="N94">
            <v>7801974514</v>
          </cell>
          <cell r="O94">
            <v>8500779311</v>
          </cell>
          <cell r="R94" t="str">
            <v>TOTAL ASSETS</v>
          </cell>
          <cell r="S94" t="str">
            <v/>
          </cell>
          <cell r="T94">
            <v>270</v>
          </cell>
          <cell r="U94" t="str">
            <v/>
          </cell>
          <cell r="V94">
            <v>177494920193</v>
          </cell>
          <cell r="W94">
            <v>190757487739</v>
          </cell>
          <cell r="Y94" t="str">
            <v>TỔNG CỘNG TÀI SẢN</v>
          </cell>
          <cell r="Z94" t="str">
            <v/>
          </cell>
          <cell r="AA94">
            <v>270</v>
          </cell>
          <cell r="AB94" t="str">
            <v/>
          </cell>
          <cell r="AC94">
            <v>177494920193</v>
          </cell>
          <cell r="AD94">
            <v>190757487739</v>
          </cell>
        </row>
        <row r="95">
          <cell r="J95" t="str">
            <v/>
          </cell>
          <cell r="Y95" t="str">
            <v/>
          </cell>
          <cell r="Z95" t="str">
            <v/>
          </cell>
          <cell r="AA95" t="str">
            <v/>
          </cell>
          <cell r="AB95" t="str">
            <v/>
          </cell>
        </row>
        <row r="98">
          <cell r="C98" t="str">
            <v>Crowe Vietnam Master Binder Template v1.1</v>
          </cell>
          <cell r="H98" t="str">
            <v>B01-DN</v>
          </cell>
          <cell r="J98" t="str">
            <v>Crowe Vietnam Master Binder Template v1.1</v>
          </cell>
          <cell r="O98" t="str">
            <v>B01-DN</v>
          </cell>
          <cell r="R98" t="str">
            <v>Crowe Vietnam Master Binder Template v1.1</v>
          </cell>
          <cell r="W98" t="str">
            <v>B01-DN</v>
          </cell>
          <cell r="Y98" t="str">
            <v>Crowe Vietnam Master Binder Template v1.1</v>
          </cell>
          <cell r="AD98" t="str">
            <v>B01-DN</v>
          </cell>
        </row>
        <row r="99">
          <cell r="H99" t="str">
            <v>(Issued in accordance with Circular No. 200/2014/TT-BTC</v>
          </cell>
          <cell r="O99" t="str">
            <v>(Ban hành theo Thông tư số 200/2014/TT-BTC</v>
          </cell>
          <cell r="W99" t="str">
            <v>(Issued in accordance with Circular No. 200/2014/TT-BTC</v>
          </cell>
          <cell r="AD99" t="str">
            <v>(Ban hành theo Thông tư số 200/2014/TT-BTC</v>
          </cell>
        </row>
        <row r="100">
          <cell r="H100" t="str">
            <v>dated 22 December 2014 of the Ministry of Finance)</v>
          </cell>
          <cell r="O100" t="str">
            <v>ngày 22 tháng 12 năm 2014 của Bộ Tài chính)</v>
          </cell>
          <cell r="W100" t="str">
            <v>dated 22 December 2014 of the Ministry of Finance)</v>
          </cell>
          <cell r="AD100" t="str">
            <v>ngày 22 tháng 12 năm 2014 của Bộ Tài chính)</v>
          </cell>
        </row>
        <row r="102">
          <cell r="C102" t="str">
            <v>BALANCE SHEET (continued)</v>
          </cell>
          <cell r="J102" t="str">
            <v>BẢNG CÂN ĐỐI KẾ TOÁN (tiếp theo)</v>
          </cell>
          <cell r="R102" t="str">
            <v>BALANCE SHEET (continued)</v>
          </cell>
          <cell r="Y102" t="str">
            <v>BẢNG CÂN ĐỐI KẾ TOÁN (tiếp theo)</v>
          </cell>
        </row>
        <row r="103">
          <cell r="C103" t="str">
            <v>STATEMENT OF FINANCIAL POSITION (continued)</v>
          </cell>
          <cell r="J103" t="str">
            <v>BÁO CÁO TÌNH HÌNH TÀI CHÍNH (tiếp theo)</v>
          </cell>
          <cell r="R103" t="str">
            <v>STATEMENT OF FINANCIAL POSITION (continued)</v>
          </cell>
          <cell r="Y103" t="str">
            <v>BÁO CÁO TÌNH HÌNH TÀI CHÍNH (tiếp theo)</v>
          </cell>
        </row>
        <row r="104">
          <cell r="C104" t="str">
            <v>as at 31 December 2023</v>
          </cell>
          <cell r="J104" t="str">
            <v>tại ngày 31 tháng 12 năm 2023</v>
          </cell>
          <cell r="R104" t="str">
            <v>as at 31 December 2023</v>
          </cell>
          <cell r="Y104" t="str">
            <v>tại ngày 31 tháng 12 năm 2023</v>
          </cell>
        </row>
        <row r="105">
          <cell r="C105" t="str">
            <v>Unit: VND</v>
          </cell>
          <cell r="J105" t="str">
            <v>Đơn vị: VND</v>
          </cell>
          <cell r="R105" t="str">
            <v>Unit: VND 1,000</v>
          </cell>
          <cell r="Y105" t="str">
            <v>Đơn vị: 1.000 VND</v>
          </cell>
        </row>
        <row r="106">
          <cell r="C106" t="str">
            <v>(The accompanying Notes are an integral part of these Financial Statements)</v>
          </cell>
          <cell r="J106" t="str">
            <v>(Các Thuyết minh đính kèm là một phần không thể tách rời của các Báo cáo Tài chính này)</v>
          </cell>
          <cell r="R106" t="str">
            <v>(The accompanying Notes are an integral part of these Financial Statements)</v>
          </cell>
          <cell r="Y106" t="str">
            <v>(Các Thuyết minh đính kèm là một phần không thể tách rời của các Báo cáo Tài chính này)</v>
          </cell>
        </row>
        <row r="108">
          <cell r="D108" t="str">
            <v>RESOURCES</v>
          </cell>
          <cell r="E108" t="str">
            <v>Code</v>
          </cell>
          <cell r="F108" t="str">
            <v>Notes</v>
          </cell>
          <cell r="G108" t="str">
            <v>Ending bal'</v>
          </cell>
          <cell r="H108" t="str">
            <v>Beginning bal'</v>
          </cell>
          <cell r="J108" t="str">
            <v>NGUỒN VỐN</v>
          </cell>
          <cell r="L108" t="str">
            <v>Mã số</v>
          </cell>
          <cell r="M108" t="str">
            <v>TM</v>
          </cell>
          <cell r="N108" t="str">
            <v>Số cuối năm</v>
          </cell>
          <cell r="O108" t="str">
            <v>Số đầu năm</v>
          </cell>
          <cell r="R108" t="str">
            <v/>
          </cell>
          <cell r="S108" t="str">
            <v>RESOURCES</v>
          </cell>
          <cell r="T108" t="str">
            <v>Code</v>
          </cell>
          <cell r="U108" t="str">
            <v>Notes</v>
          </cell>
          <cell r="V108" t="str">
            <v>Ending bal'</v>
          </cell>
          <cell r="W108" t="str">
            <v>Beginning bal'</v>
          </cell>
          <cell r="Y108" t="str">
            <v>NGUỒN VỐN</v>
          </cell>
          <cell r="Z108" t="str">
            <v/>
          </cell>
          <cell r="AA108" t="str">
            <v>Mã số</v>
          </cell>
          <cell r="AB108" t="str">
            <v>TM</v>
          </cell>
          <cell r="AC108" t="str">
            <v>Số cuối năm</v>
          </cell>
          <cell r="AD108" t="str">
            <v>Số đầu năm</v>
          </cell>
        </row>
        <row r="109">
          <cell r="J109" t="str">
            <v/>
          </cell>
          <cell r="M109" t="str">
            <v/>
          </cell>
          <cell r="R109" t="str">
            <v/>
          </cell>
          <cell r="S109" t="str">
            <v/>
          </cell>
          <cell r="T109" t="str">
            <v/>
          </cell>
          <cell r="U109" t="str">
            <v/>
          </cell>
          <cell r="Y109" t="str">
            <v/>
          </cell>
          <cell r="Z109" t="str">
            <v/>
          </cell>
          <cell r="AA109" t="str">
            <v/>
          </cell>
          <cell r="AB109" t="str">
            <v/>
          </cell>
        </row>
        <row r="110">
          <cell r="C110" t="str">
            <v>A.</v>
          </cell>
          <cell r="D110" t="str">
            <v>LIABILITIES</v>
          </cell>
          <cell r="E110">
            <v>300</v>
          </cell>
          <cell r="G110">
            <v>1153735395</v>
          </cell>
          <cell r="H110">
            <v>931169856</v>
          </cell>
          <cell r="J110" t="str">
            <v>A.</v>
          </cell>
          <cell r="K110" t="str">
            <v>NỢ PHẢI TRẢ</v>
          </cell>
          <cell r="L110">
            <v>300</v>
          </cell>
          <cell r="M110" t="str">
            <v/>
          </cell>
          <cell r="N110">
            <v>1153735395</v>
          </cell>
          <cell r="O110">
            <v>931169856</v>
          </cell>
          <cell r="R110" t="str">
            <v>A.</v>
          </cell>
          <cell r="S110" t="str">
            <v>LIABILITIES</v>
          </cell>
          <cell r="T110">
            <v>300</v>
          </cell>
          <cell r="U110" t="str">
            <v/>
          </cell>
          <cell r="V110">
            <v>26247480238</v>
          </cell>
          <cell r="W110">
            <v>20895451569</v>
          </cell>
          <cell r="Y110" t="str">
            <v>A.</v>
          </cell>
          <cell r="Z110" t="str">
            <v>NỢ PHẢI TRẢ</v>
          </cell>
          <cell r="AA110">
            <v>300</v>
          </cell>
          <cell r="AB110" t="str">
            <v/>
          </cell>
          <cell r="AC110">
            <v>26247480238</v>
          </cell>
          <cell r="AD110">
            <v>20895451569</v>
          </cell>
        </row>
        <row r="111">
          <cell r="J111" t="str">
            <v/>
          </cell>
          <cell r="M111" t="str">
            <v/>
          </cell>
          <cell r="R111" t="str">
            <v/>
          </cell>
          <cell r="S111" t="str">
            <v/>
          </cell>
          <cell r="T111" t="str">
            <v/>
          </cell>
          <cell r="U111" t="str">
            <v/>
          </cell>
          <cell r="Y111" t="str">
            <v/>
          </cell>
          <cell r="Z111" t="str">
            <v/>
          </cell>
          <cell r="AA111" t="str">
            <v/>
          </cell>
          <cell r="AB111" t="str">
            <v/>
          </cell>
        </row>
        <row r="112">
          <cell r="C112" t="str">
            <v>I.</v>
          </cell>
          <cell r="D112" t="str">
            <v>Current liabilities</v>
          </cell>
          <cell r="E112">
            <v>310</v>
          </cell>
          <cell r="G112">
            <v>1153735395</v>
          </cell>
          <cell r="H112">
            <v>931169856</v>
          </cell>
          <cell r="J112" t="str">
            <v>I.</v>
          </cell>
          <cell r="K112" t="str">
            <v>Nợ ngắn hạn</v>
          </cell>
          <cell r="L112">
            <v>310</v>
          </cell>
          <cell r="M112" t="str">
            <v/>
          </cell>
          <cell r="N112">
            <v>1153735395</v>
          </cell>
          <cell r="O112">
            <v>931169856</v>
          </cell>
          <cell r="R112" t="str">
            <v>I.</v>
          </cell>
          <cell r="S112" t="str">
            <v>Current liabilities</v>
          </cell>
          <cell r="T112">
            <v>310</v>
          </cell>
          <cell r="U112" t="str">
            <v/>
          </cell>
          <cell r="V112">
            <v>26247480238</v>
          </cell>
          <cell r="W112">
            <v>20895451569</v>
          </cell>
          <cell r="Y112" t="str">
            <v>I.</v>
          </cell>
          <cell r="Z112" t="str">
            <v>Nợ ngắn hạn</v>
          </cell>
          <cell r="AA112">
            <v>310</v>
          </cell>
          <cell r="AB112" t="str">
            <v/>
          </cell>
          <cell r="AC112">
            <v>26247480238</v>
          </cell>
          <cell r="AD112">
            <v>20895451569</v>
          </cell>
        </row>
        <row r="113">
          <cell r="D113" t="str">
            <v>▪ Short-term payables to suppliers</v>
          </cell>
          <cell r="E113">
            <v>311</v>
          </cell>
          <cell r="F113">
            <v>12</v>
          </cell>
          <cell r="G113">
            <v>316791974</v>
          </cell>
          <cell r="H113">
            <v>396562352</v>
          </cell>
          <cell r="J113" t="str">
            <v/>
          </cell>
          <cell r="K113" t="str">
            <v>▪ Phải trả cho người bán ngắn hạn</v>
          </cell>
          <cell r="L113">
            <v>311</v>
          </cell>
          <cell r="M113">
            <v>12</v>
          </cell>
          <cell r="N113">
            <v>316791974</v>
          </cell>
          <cell r="O113">
            <v>396562352</v>
          </cell>
          <cell r="R113" t="str">
            <v/>
          </cell>
          <cell r="S113" t="str">
            <v>▪ Short-term payables to suppliers</v>
          </cell>
          <cell r="T113">
            <v>311</v>
          </cell>
          <cell r="U113">
            <v>12</v>
          </cell>
          <cell r="V113">
            <v>7207017409</v>
          </cell>
          <cell r="W113">
            <v>8898859179</v>
          </cell>
          <cell r="Y113" t="str">
            <v/>
          </cell>
          <cell r="Z113" t="str">
            <v>▪ Phải trả cho người bán ngắn hạn</v>
          </cell>
          <cell r="AA113">
            <v>311</v>
          </cell>
          <cell r="AB113">
            <v>12</v>
          </cell>
          <cell r="AC113">
            <v>7207017409</v>
          </cell>
          <cell r="AD113">
            <v>8898859179</v>
          </cell>
        </row>
        <row r="114">
          <cell r="D114" t="str">
            <v>▪ Short-term advances from customers</v>
          </cell>
          <cell r="E114">
            <v>312</v>
          </cell>
          <cell r="F114">
            <v>13</v>
          </cell>
          <cell r="G114">
            <v>120009600</v>
          </cell>
          <cell r="H114">
            <v>0</v>
          </cell>
          <cell r="J114" t="str">
            <v/>
          </cell>
          <cell r="K114" t="str">
            <v>▪ Người mua trả tiền trước ngắn hạn</v>
          </cell>
          <cell r="L114">
            <v>312</v>
          </cell>
          <cell r="M114">
            <v>13</v>
          </cell>
          <cell r="N114">
            <v>120009600</v>
          </cell>
          <cell r="O114">
            <v>0</v>
          </cell>
          <cell r="R114" t="str">
            <v/>
          </cell>
          <cell r="S114" t="str">
            <v>▪ Short-term advances from customers</v>
          </cell>
          <cell r="T114">
            <v>312</v>
          </cell>
          <cell r="U114">
            <v>13</v>
          </cell>
          <cell r="V114">
            <v>2730218400</v>
          </cell>
          <cell r="W114">
            <v>0</v>
          </cell>
          <cell r="Y114" t="str">
            <v/>
          </cell>
          <cell r="Z114" t="str">
            <v>▪ Người mua trả tiền trước ngắn hạn</v>
          </cell>
          <cell r="AA114">
            <v>312</v>
          </cell>
          <cell r="AB114">
            <v>13</v>
          </cell>
          <cell r="AC114">
            <v>2730218400</v>
          </cell>
          <cell r="AD114">
            <v>0</v>
          </cell>
        </row>
        <row r="115">
          <cell r="D115" t="str">
            <v>▪ Taxes and other obligations
   to the State</v>
          </cell>
          <cell r="E115">
            <v>313</v>
          </cell>
          <cell r="F115">
            <v>14</v>
          </cell>
          <cell r="G115">
            <v>460973534</v>
          </cell>
          <cell r="H115">
            <v>20709338</v>
          </cell>
          <cell r="J115" t="str">
            <v/>
          </cell>
          <cell r="K115" t="str">
            <v>▪ Thuế và các khoản khác phải nộp
   Nhà nước</v>
          </cell>
          <cell r="L115">
            <v>313</v>
          </cell>
          <cell r="M115">
            <v>14</v>
          </cell>
          <cell r="N115">
            <v>460973534</v>
          </cell>
          <cell r="O115">
            <v>20709338</v>
          </cell>
          <cell r="R115" t="str">
            <v/>
          </cell>
          <cell r="S115" t="str">
            <v>▪ Taxes and other obligations
   to the State</v>
          </cell>
          <cell r="T115">
            <v>313</v>
          </cell>
          <cell r="U115">
            <v>14</v>
          </cell>
          <cell r="V115">
            <v>10487147899</v>
          </cell>
          <cell r="W115">
            <v>464717545</v>
          </cell>
          <cell r="Y115" t="str">
            <v/>
          </cell>
          <cell r="Z115" t="str">
            <v>▪ Thuế và các khoản khác phải nộp
   Nhà nước</v>
          </cell>
          <cell r="AA115">
            <v>313</v>
          </cell>
          <cell r="AB115">
            <v>14</v>
          </cell>
          <cell r="AC115">
            <v>10487147899</v>
          </cell>
          <cell r="AD115">
            <v>464717545</v>
          </cell>
        </row>
        <row r="116">
          <cell r="D116" t="str">
            <v>▪ Payables to employees</v>
          </cell>
          <cell r="E116">
            <v>314</v>
          </cell>
          <cell r="F116">
            <v>15</v>
          </cell>
          <cell r="G116">
            <v>37232786</v>
          </cell>
          <cell r="H116">
            <v>48145085</v>
          </cell>
          <cell r="J116" t="str">
            <v/>
          </cell>
          <cell r="K116" t="str">
            <v>▪ Phải trả người lao động</v>
          </cell>
          <cell r="L116">
            <v>314</v>
          </cell>
          <cell r="M116">
            <v>15</v>
          </cell>
          <cell r="N116">
            <v>37232786</v>
          </cell>
          <cell r="O116">
            <v>48145085</v>
          </cell>
          <cell r="R116" t="str">
            <v/>
          </cell>
          <cell r="S116" t="str">
            <v>▪ Payables to employees</v>
          </cell>
          <cell r="T116">
            <v>314</v>
          </cell>
          <cell r="U116">
            <v>15</v>
          </cell>
          <cell r="V116">
            <v>847045882</v>
          </cell>
          <cell r="W116">
            <v>1080375707</v>
          </cell>
          <cell r="Y116" t="str">
            <v/>
          </cell>
          <cell r="Z116" t="str">
            <v>▪ Phải trả người lao động</v>
          </cell>
          <cell r="AA116">
            <v>314</v>
          </cell>
          <cell r="AB116">
            <v>15</v>
          </cell>
          <cell r="AC116">
            <v>847045882</v>
          </cell>
          <cell r="AD116">
            <v>1080375707</v>
          </cell>
        </row>
        <row r="117">
          <cell r="D117" t="str">
            <v>▪ Short-term accrued expenses</v>
          </cell>
          <cell r="E117">
            <v>315</v>
          </cell>
          <cell r="F117">
            <v>16</v>
          </cell>
          <cell r="G117">
            <v>167202194</v>
          </cell>
          <cell r="H117">
            <v>419095788</v>
          </cell>
          <cell r="J117" t="str">
            <v/>
          </cell>
          <cell r="K117" t="str">
            <v>▪ Chi phí phải trả ngắn hạn</v>
          </cell>
          <cell r="L117">
            <v>315</v>
          </cell>
          <cell r="M117">
            <v>16</v>
          </cell>
          <cell r="N117">
            <v>167202194</v>
          </cell>
          <cell r="O117">
            <v>419095788</v>
          </cell>
          <cell r="R117" t="str">
            <v/>
          </cell>
          <cell r="S117" t="str">
            <v>▪ Short-term accrued expenses</v>
          </cell>
          <cell r="T117">
            <v>315</v>
          </cell>
          <cell r="U117">
            <v>16</v>
          </cell>
          <cell r="V117">
            <v>3803849914</v>
          </cell>
          <cell r="W117">
            <v>9404509483</v>
          </cell>
          <cell r="Y117" t="str">
            <v/>
          </cell>
          <cell r="Z117" t="str">
            <v>▪ Chi phí phải trả ngắn hạn</v>
          </cell>
          <cell r="AA117">
            <v>315</v>
          </cell>
          <cell r="AB117">
            <v>16</v>
          </cell>
          <cell r="AC117">
            <v>3803849914</v>
          </cell>
          <cell r="AD117">
            <v>9404509483</v>
          </cell>
        </row>
        <row r="118">
          <cell r="D118" t="str">
            <v>▪ Short-term inter-company payables</v>
          </cell>
          <cell r="E118">
            <v>316</v>
          </cell>
          <cell r="F118" t="str">
            <v/>
          </cell>
          <cell r="G118">
            <v>0</v>
          </cell>
          <cell r="H118">
            <v>0</v>
          </cell>
          <cell r="J118" t="str">
            <v/>
          </cell>
          <cell r="K118" t="str">
            <v>▪ Phải trả nội bộ ngắn hạn</v>
          </cell>
          <cell r="L118">
            <v>316</v>
          </cell>
          <cell r="M118" t="str">
            <v/>
          </cell>
          <cell r="N118">
            <v>0</v>
          </cell>
          <cell r="O118">
            <v>0</v>
          </cell>
          <cell r="R118" t="str">
            <v/>
          </cell>
          <cell r="S118" t="str">
            <v>▪ Short-term inter-company payables</v>
          </cell>
          <cell r="T118">
            <v>316</v>
          </cell>
          <cell r="U118" t="str">
            <v/>
          </cell>
          <cell r="V118">
            <v>0</v>
          </cell>
          <cell r="W118">
            <v>0</v>
          </cell>
          <cell r="Y118" t="str">
            <v/>
          </cell>
          <cell r="Z118" t="str">
            <v>▪ Phải trả nội bộ ngắn hạn</v>
          </cell>
          <cell r="AA118">
            <v>316</v>
          </cell>
          <cell r="AB118" t="str">
            <v/>
          </cell>
          <cell r="AC118">
            <v>0</v>
          </cell>
          <cell r="AD118">
            <v>0</v>
          </cell>
        </row>
        <row r="119">
          <cell r="D119" t="str">
            <v>▪ Payables according to the progress of
   construction contracts</v>
          </cell>
          <cell r="E119">
            <v>317</v>
          </cell>
          <cell r="F119" t="str">
            <v/>
          </cell>
          <cell r="G119">
            <v>0</v>
          </cell>
          <cell r="H119">
            <v>0</v>
          </cell>
          <cell r="J119" t="str">
            <v/>
          </cell>
          <cell r="K119" t="str">
            <v>▪ Phải trả theo tiến độ kế hoạch hợp đồng 
   xây dựng</v>
          </cell>
          <cell r="L119">
            <v>317</v>
          </cell>
          <cell r="M119" t="str">
            <v/>
          </cell>
          <cell r="N119">
            <v>0</v>
          </cell>
          <cell r="O119">
            <v>0</v>
          </cell>
          <cell r="R119" t="str">
            <v/>
          </cell>
          <cell r="S119" t="str">
            <v>▪ Payables under schedule of construction
   contract</v>
          </cell>
          <cell r="T119">
            <v>317</v>
          </cell>
          <cell r="U119" t="str">
            <v/>
          </cell>
          <cell r="V119">
            <v>0</v>
          </cell>
          <cell r="W119">
            <v>0</v>
          </cell>
          <cell r="Y119" t="str">
            <v/>
          </cell>
          <cell r="Z119" t="str">
            <v>▪ Phải trả theo tiến độ kế hoạch hợp đồng 
   xây dựng</v>
          </cell>
          <cell r="AA119">
            <v>317</v>
          </cell>
          <cell r="AB119" t="str">
            <v/>
          </cell>
          <cell r="AC119">
            <v>0</v>
          </cell>
          <cell r="AD119">
            <v>0</v>
          </cell>
        </row>
        <row r="120">
          <cell r="D120" t="str">
            <v>▪ Short-term unearned revenue</v>
          </cell>
          <cell r="E120">
            <v>318</v>
          </cell>
          <cell r="F120" t="str">
            <v/>
          </cell>
          <cell r="G120">
            <v>0</v>
          </cell>
          <cell r="H120">
            <v>0</v>
          </cell>
          <cell r="J120" t="str">
            <v/>
          </cell>
          <cell r="K120" t="str">
            <v>▪ Doanh thu chưa thực hiện ngắn hạn</v>
          </cell>
          <cell r="L120">
            <v>318</v>
          </cell>
          <cell r="M120" t="str">
            <v/>
          </cell>
          <cell r="N120">
            <v>0</v>
          </cell>
          <cell r="O120">
            <v>0</v>
          </cell>
          <cell r="R120" t="str">
            <v/>
          </cell>
          <cell r="S120" t="str">
            <v>▪ Short-term unearned revenue</v>
          </cell>
          <cell r="T120">
            <v>318</v>
          </cell>
          <cell r="U120" t="str">
            <v/>
          </cell>
          <cell r="V120">
            <v>0</v>
          </cell>
          <cell r="W120">
            <v>0</v>
          </cell>
          <cell r="Y120" t="str">
            <v/>
          </cell>
          <cell r="Z120" t="str">
            <v>▪ Doanh thu chưa thực hiện ngắn hạn</v>
          </cell>
          <cell r="AA120">
            <v>318</v>
          </cell>
          <cell r="AB120" t="str">
            <v/>
          </cell>
          <cell r="AC120">
            <v>0</v>
          </cell>
          <cell r="AD120">
            <v>0</v>
          </cell>
        </row>
        <row r="121">
          <cell r="D121" t="str">
            <v>▪ Other short-term payables</v>
          </cell>
          <cell r="E121">
            <v>319</v>
          </cell>
          <cell r="F121">
            <v>17</v>
          </cell>
          <cell r="G121">
            <v>51525307</v>
          </cell>
          <cell r="H121">
            <v>46657293</v>
          </cell>
          <cell r="J121" t="str">
            <v/>
          </cell>
          <cell r="K121" t="str">
            <v>▪ Phải trả ngắn hạn khác</v>
          </cell>
          <cell r="L121">
            <v>319</v>
          </cell>
          <cell r="M121">
            <v>17</v>
          </cell>
          <cell r="N121">
            <v>51525307</v>
          </cell>
          <cell r="O121">
            <v>46657293</v>
          </cell>
          <cell r="R121" t="str">
            <v/>
          </cell>
          <cell r="S121" t="str">
            <v>▪ Other short-term payables</v>
          </cell>
          <cell r="T121">
            <v>319</v>
          </cell>
          <cell r="U121">
            <v>17</v>
          </cell>
          <cell r="V121">
            <v>1172200734</v>
          </cell>
          <cell r="W121">
            <v>1046989655</v>
          </cell>
          <cell r="Y121" t="str">
            <v/>
          </cell>
          <cell r="Z121" t="str">
            <v>▪ Phải trả ngắn hạn khác</v>
          </cell>
          <cell r="AA121">
            <v>319</v>
          </cell>
          <cell r="AB121">
            <v>17</v>
          </cell>
          <cell r="AC121">
            <v>1172200734</v>
          </cell>
          <cell r="AD121">
            <v>1046989655</v>
          </cell>
        </row>
        <row r="122">
          <cell r="D122" t="str">
            <v xml:space="preserve">▪ Short-term loans and finance lease
  liabilities </v>
          </cell>
          <cell r="E122">
            <v>320</v>
          </cell>
          <cell r="F122" t="str">
            <v/>
          </cell>
          <cell r="G122">
            <v>0</v>
          </cell>
          <cell r="H122">
            <v>0</v>
          </cell>
          <cell r="K122" t="str">
            <v>▪ Vay và nợ thuê tài chính
  ngắn hạn</v>
          </cell>
          <cell r="L122">
            <v>320</v>
          </cell>
          <cell r="M122" t="str">
            <v/>
          </cell>
          <cell r="N122">
            <v>0</v>
          </cell>
          <cell r="O122">
            <v>0</v>
          </cell>
          <cell r="S122" t="str">
            <v xml:space="preserve">▪ Short-term loans and finance lease
  liabilities </v>
          </cell>
          <cell r="T122">
            <v>320</v>
          </cell>
          <cell r="U122" t="str">
            <v/>
          </cell>
          <cell r="V122">
            <v>0</v>
          </cell>
          <cell r="W122">
            <v>0</v>
          </cell>
          <cell r="Z122" t="str">
            <v>▪ Vay và nợ thuê tài chính
  ngắn hạn</v>
          </cell>
          <cell r="AA122">
            <v>320</v>
          </cell>
          <cell r="AB122" t="str">
            <v/>
          </cell>
          <cell r="AC122">
            <v>0</v>
          </cell>
          <cell r="AD122">
            <v>0</v>
          </cell>
        </row>
        <row r="123">
          <cell r="D123" t="str">
            <v>▪ Short-term payable provisions</v>
          </cell>
          <cell r="E123">
            <v>321</v>
          </cell>
          <cell r="F123" t="str">
            <v/>
          </cell>
          <cell r="G123">
            <v>0</v>
          </cell>
          <cell r="H123">
            <v>0</v>
          </cell>
          <cell r="K123" t="str">
            <v>▪ Dự phòng phải trả ngắn hạn</v>
          </cell>
          <cell r="L123">
            <v>321</v>
          </cell>
          <cell r="M123" t="str">
            <v/>
          </cell>
          <cell r="N123">
            <v>0</v>
          </cell>
          <cell r="O123">
            <v>0</v>
          </cell>
          <cell r="S123" t="str">
            <v>▪ Short-term payable provisions</v>
          </cell>
          <cell r="T123">
            <v>321</v>
          </cell>
          <cell r="U123" t="str">
            <v/>
          </cell>
          <cell r="V123">
            <v>0</v>
          </cell>
          <cell r="W123">
            <v>0</v>
          </cell>
          <cell r="Z123" t="str">
            <v>▪ Dự phòng phải trả ngắn hạn</v>
          </cell>
          <cell r="AA123">
            <v>321</v>
          </cell>
          <cell r="AB123" t="str">
            <v/>
          </cell>
          <cell r="AC123">
            <v>0</v>
          </cell>
          <cell r="AD123">
            <v>0</v>
          </cell>
        </row>
        <row r="124">
          <cell r="D124" t="str">
            <v>▪ Bonus and welfare fund</v>
          </cell>
          <cell r="E124">
            <v>322</v>
          </cell>
          <cell r="F124" t="str">
            <v/>
          </cell>
          <cell r="G124">
            <v>0</v>
          </cell>
          <cell r="H124">
            <v>0</v>
          </cell>
          <cell r="K124" t="str">
            <v>▪ Quỹ khen thưởng và phúc lợi</v>
          </cell>
          <cell r="L124">
            <v>322</v>
          </cell>
          <cell r="M124" t="str">
            <v/>
          </cell>
          <cell r="N124">
            <v>0</v>
          </cell>
          <cell r="O124">
            <v>0</v>
          </cell>
          <cell r="S124" t="str">
            <v>▪ Bonus and welfare fund</v>
          </cell>
          <cell r="T124">
            <v>322</v>
          </cell>
          <cell r="U124" t="str">
            <v/>
          </cell>
          <cell r="V124">
            <v>0</v>
          </cell>
          <cell r="W124">
            <v>0</v>
          </cell>
          <cell r="Z124" t="str">
            <v>▪ Quỹ khen thưởng và phúc lợi</v>
          </cell>
          <cell r="AA124">
            <v>322</v>
          </cell>
          <cell r="AB124" t="str">
            <v/>
          </cell>
          <cell r="AC124">
            <v>0</v>
          </cell>
          <cell r="AD124">
            <v>0</v>
          </cell>
        </row>
        <row r="125">
          <cell r="D125" t="str">
            <v>▪ Price stablisation fund</v>
          </cell>
          <cell r="E125">
            <v>323</v>
          </cell>
          <cell r="F125" t="str">
            <v/>
          </cell>
          <cell r="G125">
            <v>0</v>
          </cell>
          <cell r="H125">
            <v>0</v>
          </cell>
          <cell r="K125" t="str">
            <v>▪ Quỹ bình ổn giá</v>
          </cell>
          <cell r="L125">
            <v>323</v>
          </cell>
          <cell r="M125" t="str">
            <v/>
          </cell>
          <cell r="N125">
            <v>0</v>
          </cell>
          <cell r="O125">
            <v>0</v>
          </cell>
          <cell r="S125" t="str">
            <v>▪ Price stablisation fund</v>
          </cell>
          <cell r="T125">
            <v>323</v>
          </cell>
          <cell r="U125" t="str">
            <v/>
          </cell>
          <cell r="V125">
            <v>0</v>
          </cell>
          <cell r="W125">
            <v>0</v>
          </cell>
          <cell r="Z125" t="str">
            <v>▪ Quỹ bình ổn giá</v>
          </cell>
          <cell r="AA125">
            <v>323</v>
          </cell>
          <cell r="AB125" t="str">
            <v/>
          </cell>
          <cell r="AC125">
            <v>0</v>
          </cell>
          <cell r="AD125">
            <v>0</v>
          </cell>
        </row>
        <row r="126">
          <cell r="D126" t="str">
            <v xml:space="preserve">▪ Purchase and resale of government bonds </v>
          </cell>
          <cell r="E126">
            <v>324</v>
          </cell>
          <cell r="F126" t="str">
            <v/>
          </cell>
          <cell r="G126">
            <v>0</v>
          </cell>
          <cell r="H126">
            <v>0</v>
          </cell>
          <cell r="K126" t="str">
            <v>▪ Mua bán lại trái phiếu Chính phủ</v>
          </cell>
          <cell r="L126">
            <v>324</v>
          </cell>
          <cell r="M126" t="str">
            <v/>
          </cell>
          <cell r="N126">
            <v>0</v>
          </cell>
          <cell r="O126">
            <v>0</v>
          </cell>
          <cell r="S126" t="str">
            <v xml:space="preserve">▪ Purchase and resale of government bonds </v>
          </cell>
          <cell r="T126">
            <v>324</v>
          </cell>
          <cell r="U126" t="str">
            <v/>
          </cell>
          <cell r="V126">
            <v>0</v>
          </cell>
          <cell r="W126">
            <v>0</v>
          </cell>
          <cell r="Z126" t="str">
            <v>▪ Mua bán lại trái phiếu Chính phủ</v>
          </cell>
          <cell r="AA126">
            <v>324</v>
          </cell>
          <cell r="AB126" t="str">
            <v/>
          </cell>
          <cell r="AC126">
            <v>0</v>
          </cell>
          <cell r="AD126">
            <v>0</v>
          </cell>
        </row>
        <row r="127">
          <cell r="J127" t="str">
            <v/>
          </cell>
          <cell r="M127" t="str">
            <v/>
          </cell>
          <cell r="Y127" t="str">
            <v/>
          </cell>
          <cell r="Z127" t="str">
            <v/>
          </cell>
          <cell r="AA127" t="str">
            <v/>
          </cell>
          <cell r="AB127" t="str">
            <v/>
          </cell>
        </row>
        <row r="128">
          <cell r="C128" t="str">
            <v>II.</v>
          </cell>
          <cell r="D128" t="str">
            <v>Non-current liabilities</v>
          </cell>
          <cell r="E128">
            <v>330</v>
          </cell>
          <cell r="G128">
            <v>0</v>
          </cell>
          <cell r="H128">
            <v>0</v>
          </cell>
          <cell r="J128" t="str">
            <v>II.</v>
          </cell>
          <cell r="K128" t="str">
            <v>Nợ dài hạn</v>
          </cell>
          <cell r="L128">
            <v>330</v>
          </cell>
          <cell r="M128" t="str">
            <v/>
          </cell>
          <cell r="N128">
            <v>0</v>
          </cell>
          <cell r="O128">
            <v>0</v>
          </cell>
          <cell r="R128" t="str">
            <v>II.</v>
          </cell>
          <cell r="S128" t="str">
            <v>Non-current liabilities</v>
          </cell>
          <cell r="T128">
            <v>330</v>
          </cell>
          <cell r="U128" t="str">
            <v/>
          </cell>
          <cell r="V128">
            <v>0</v>
          </cell>
          <cell r="W128">
            <v>0</v>
          </cell>
          <cell r="Y128" t="str">
            <v>II.</v>
          </cell>
          <cell r="Z128" t="str">
            <v>Nợ dài hạn</v>
          </cell>
          <cell r="AA128">
            <v>330</v>
          </cell>
          <cell r="AB128" t="str">
            <v/>
          </cell>
          <cell r="AC128">
            <v>0</v>
          </cell>
          <cell r="AD128">
            <v>0</v>
          </cell>
        </row>
        <row r="129">
          <cell r="D129" t="str">
            <v>▪ Long-term payables to suppliers</v>
          </cell>
          <cell r="E129">
            <v>331</v>
          </cell>
          <cell r="F129" t="str">
            <v/>
          </cell>
          <cell r="G129">
            <v>0</v>
          </cell>
          <cell r="H129">
            <v>0</v>
          </cell>
          <cell r="J129" t="str">
            <v/>
          </cell>
          <cell r="K129" t="str">
            <v>▪ Phải trả người bán dài hạn</v>
          </cell>
          <cell r="L129">
            <v>331</v>
          </cell>
          <cell r="M129" t="str">
            <v/>
          </cell>
          <cell r="N129">
            <v>0</v>
          </cell>
          <cell r="O129">
            <v>0</v>
          </cell>
          <cell r="R129" t="str">
            <v/>
          </cell>
          <cell r="S129" t="str">
            <v>▪ Long-term payables to suppliers</v>
          </cell>
          <cell r="T129">
            <v>331</v>
          </cell>
          <cell r="U129" t="str">
            <v/>
          </cell>
          <cell r="V129">
            <v>0</v>
          </cell>
          <cell r="W129">
            <v>0</v>
          </cell>
          <cell r="Y129" t="str">
            <v/>
          </cell>
          <cell r="Z129" t="str">
            <v>▪ Phải trả người bán dài hạn</v>
          </cell>
          <cell r="AA129">
            <v>331</v>
          </cell>
          <cell r="AB129" t="str">
            <v/>
          </cell>
          <cell r="AC129">
            <v>0</v>
          </cell>
          <cell r="AD129">
            <v>0</v>
          </cell>
        </row>
        <row r="130">
          <cell r="D130" t="str">
            <v>▪ Long-term advances from customers</v>
          </cell>
          <cell r="E130">
            <v>332</v>
          </cell>
          <cell r="F130" t="str">
            <v/>
          </cell>
          <cell r="G130">
            <v>0</v>
          </cell>
          <cell r="H130">
            <v>0</v>
          </cell>
          <cell r="K130" t="str">
            <v>▪ Người mua trả tiền trước dài hạn</v>
          </cell>
          <cell r="L130">
            <v>332</v>
          </cell>
          <cell r="M130" t="str">
            <v/>
          </cell>
          <cell r="N130">
            <v>0</v>
          </cell>
          <cell r="O130">
            <v>0</v>
          </cell>
          <cell r="S130" t="str">
            <v>▪ Long-term advances from customers</v>
          </cell>
          <cell r="T130">
            <v>332</v>
          </cell>
          <cell r="U130" t="str">
            <v/>
          </cell>
          <cell r="V130">
            <v>0</v>
          </cell>
          <cell r="W130">
            <v>0</v>
          </cell>
          <cell r="Z130" t="str">
            <v>▪ Người mua trả tiền trước dài hạn</v>
          </cell>
          <cell r="AA130">
            <v>332</v>
          </cell>
          <cell r="AB130" t="str">
            <v/>
          </cell>
          <cell r="AC130">
            <v>0</v>
          </cell>
          <cell r="AD130">
            <v>0</v>
          </cell>
        </row>
        <row r="131">
          <cell r="D131" t="str">
            <v>▪ Long-term accrued expenses</v>
          </cell>
          <cell r="E131">
            <v>333</v>
          </cell>
          <cell r="F131" t="str">
            <v/>
          </cell>
          <cell r="G131">
            <v>0</v>
          </cell>
          <cell r="H131">
            <v>0</v>
          </cell>
          <cell r="K131" t="str">
            <v>▪ Chi phí phải trả dài hạn</v>
          </cell>
          <cell r="L131">
            <v>333</v>
          </cell>
          <cell r="M131" t="str">
            <v/>
          </cell>
          <cell r="N131">
            <v>0</v>
          </cell>
          <cell r="O131">
            <v>0</v>
          </cell>
          <cell r="S131" t="str">
            <v>▪ Long-term accrued expenses</v>
          </cell>
          <cell r="T131">
            <v>333</v>
          </cell>
          <cell r="U131" t="str">
            <v/>
          </cell>
          <cell r="V131">
            <v>0</v>
          </cell>
          <cell r="W131">
            <v>0</v>
          </cell>
          <cell r="Z131" t="str">
            <v>▪ Chi phí phải trả dài hạn</v>
          </cell>
          <cell r="AA131">
            <v>333</v>
          </cell>
          <cell r="AB131" t="str">
            <v/>
          </cell>
          <cell r="AC131">
            <v>0</v>
          </cell>
          <cell r="AD131">
            <v>0</v>
          </cell>
        </row>
        <row r="132">
          <cell r="D132" t="str">
            <v xml:space="preserve">▪ Inter-company payables on working 
 capital </v>
          </cell>
          <cell r="E132">
            <v>334</v>
          </cell>
          <cell r="F132" t="str">
            <v/>
          </cell>
          <cell r="G132">
            <v>0</v>
          </cell>
          <cell r="H132">
            <v>0</v>
          </cell>
          <cell r="K132" t="str">
            <v>▪ Phải trả nội bộ về vốn kinh doanh
   được cấp</v>
          </cell>
          <cell r="L132">
            <v>334</v>
          </cell>
          <cell r="M132" t="str">
            <v/>
          </cell>
          <cell r="N132">
            <v>0</v>
          </cell>
          <cell r="O132">
            <v>0</v>
          </cell>
          <cell r="S132" t="str">
            <v xml:space="preserve">▪ Inter-company payables on working 
 capital </v>
          </cell>
          <cell r="T132">
            <v>334</v>
          </cell>
          <cell r="U132" t="str">
            <v/>
          </cell>
          <cell r="V132">
            <v>0</v>
          </cell>
          <cell r="W132">
            <v>0</v>
          </cell>
          <cell r="Z132" t="str">
            <v>▪ Phải trả nội bộ về vốn kinh doanh
   được cấp</v>
          </cell>
          <cell r="AA132">
            <v>334</v>
          </cell>
          <cell r="AB132" t="str">
            <v/>
          </cell>
          <cell r="AC132">
            <v>0</v>
          </cell>
          <cell r="AD132">
            <v>0</v>
          </cell>
        </row>
        <row r="133">
          <cell r="D133" t="str">
            <v>▪ Long-term inter-company payables</v>
          </cell>
          <cell r="E133">
            <v>335</v>
          </cell>
          <cell r="F133" t="str">
            <v/>
          </cell>
          <cell r="G133">
            <v>0</v>
          </cell>
          <cell r="H133">
            <v>0</v>
          </cell>
          <cell r="J133" t="str">
            <v/>
          </cell>
          <cell r="K133" t="str">
            <v>▪ Phải trả nội bộ dài hạn</v>
          </cell>
          <cell r="L133">
            <v>335</v>
          </cell>
          <cell r="M133" t="str">
            <v/>
          </cell>
          <cell r="N133">
            <v>0</v>
          </cell>
          <cell r="O133">
            <v>0</v>
          </cell>
          <cell r="R133" t="str">
            <v/>
          </cell>
          <cell r="S133" t="str">
            <v>▪ Long-term inter-company payables</v>
          </cell>
          <cell r="T133">
            <v>335</v>
          </cell>
          <cell r="U133" t="str">
            <v/>
          </cell>
          <cell r="V133">
            <v>0</v>
          </cell>
          <cell r="W133">
            <v>0</v>
          </cell>
          <cell r="Y133" t="str">
            <v/>
          </cell>
          <cell r="Z133" t="str">
            <v>▪ Phải trả nội bộ dài hạn</v>
          </cell>
          <cell r="AA133">
            <v>335</v>
          </cell>
          <cell r="AB133" t="str">
            <v/>
          </cell>
          <cell r="AC133">
            <v>0</v>
          </cell>
          <cell r="AD133">
            <v>0</v>
          </cell>
        </row>
        <row r="134">
          <cell r="D134" t="str">
            <v>▪ Long-term unearned revenue</v>
          </cell>
          <cell r="E134">
            <v>336</v>
          </cell>
          <cell r="F134" t="str">
            <v/>
          </cell>
          <cell r="G134">
            <v>0</v>
          </cell>
          <cell r="H134">
            <v>0</v>
          </cell>
          <cell r="K134" t="str">
            <v>▪ Doanh thu chưa thực hiện dài hạn</v>
          </cell>
          <cell r="L134">
            <v>336</v>
          </cell>
          <cell r="M134" t="str">
            <v/>
          </cell>
          <cell r="N134">
            <v>0</v>
          </cell>
          <cell r="O134">
            <v>0</v>
          </cell>
          <cell r="S134" t="str">
            <v>▪ Long-term unearned revenue</v>
          </cell>
          <cell r="T134">
            <v>336</v>
          </cell>
          <cell r="U134" t="str">
            <v/>
          </cell>
          <cell r="V134">
            <v>0</v>
          </cell>
          <cell r="W134">
            <v>0</v>
          </cell>
          <cell r="Z134" t="str">
            <v>▪ Doanh thu chưa thực hiện dài hạn</v>
          </cell>
          <cell r="AA134">
            <v>336</v>
          </cell>
          <cell r="AB134" t="str">
            <v/>
          </cell>
          <cell r="AC134">
            <v>0</v>
          </cell>
          <cell r="AD134">
            <v>0</v>
          </cell>
        </row>
        <row r="135">
          <cell r="D135" t="str">
            <v>▪ Other long-term payables</v>
          </cell>
          <cell r="E135">
            <v>337</v>
          </cell>
          <cell r="F135" t="str">
            <v/>
          </cell>
          <cell r="G135">
            <v>0</v>
          </cell>
          <cell r="H135">
            <v>0</v>
          </cell>
          <cell r="J135" t="str">
            <v/>
          </cell>
          <cell r="K135" t="str">
            <v>▪ Phải trả dài hạn khác</v>
          </cell>
          <cell r="L135">
            <v>337</v>
          </cell>
          <cell r="M135" t="str">
            <v/>
          </cell>
          <cell r="N135">
            <v>0</v>
          </cell>
          <cell r="O135">
            <v>0</v>
          </cell>
          <cell r="R135" t="str">
            <v/>
          </cell>
          <cell r="S135" t="str">
            <v>▪ Other long-term payables</v>
          </cell>
          <cell r="T135">
            <v>337</v>
          </cell>
          <cell r="U135" t="str">
            <v/>
          </cell>
          <cell r="V135">
            <v>0</v>
          </cell>
          <cell r="W135">
            <v>0</v>
          </cell>
          <cell r="Y135" t="str">
            <v/>
          </cell>
          <cell r="Z135" t="str">
            <v>▪ Phải trả dài hạn khác</v>
          </cell>
          <cell r="AA135">
            <v>337</v>
          </cell>
          <cell r="AB135" t="str">
            <v/>
          </cell>
          <cell r="AC135">
            <v>0</v>
          </cell>
          <cell r="AD135">
            <v>0</v>
          </cell>
        </row>
        <row r="136">
          <cell r="D136" t="str">
            <v>▪ Long-term loans and finance lease
   liabilities</v>
          </cell>
          <cell r="E136">
            <v>338</v>
          </cell>
          <cell r="F136" t="str">
            <v/>
          </cell>
          <cell r="G136">
            <v>0</v>
          </cell>
          <cell r="H136">
            <v>0</v>
          </cell>
          <cell r="J136" t="str">
            <v/>
          </cell>
          <cell r="K136" t="str">
            <v>▪ Vay và nợ thuê tài chính
  dài hạn</v>
          </cell>
          <cell r="L136">
            <v>338</v>
          </cell>
          <cell r="M136" t="str">
            <v/>
          </cell>
          <cell r="N136">
            <v>0</v>
          </cell>
          <cell r="O136">
            <v>0</v>
          </cell>
          <cell r="R136" t="str">
            <v/>
          </cell>
          <cell r="S136" t="str">
            <v>▪ Long-term loans and finance lease
   liabilities</v>
          </cell>
          <cell r="T136">
            <v>338</v>
          </cell>
          <cell r="U136" t="str">
            <v/>
          </cell>
          <cell r="V136">
            <v>0</v>
          </cell>
          <cell r="W136">
            <v>0</v>
          </cell>
          <cell r="Y136" t="str">
            <v/>
          </cell>
          <cell r="Z136" t="str">
            <v>▪ Vay và nợ thuê tài chính
  dài hạn</v>
          </cell>
          <cell r="AA136">
            <v>338</v>
          </cell>
          <cell r="AB136" t="str">
            <v/>
          </cell>
          <cell r="AC136">
            <v>0</v>
          </cell>
          <cell r="AD136">
            <v>0</v>
          </cell>
        </row>
        <row r="137">
          <cell r="D137" t="str">
            <v>▪ Convertible bonds</v>
          </cell>
          <cell r="E137">
            <v>339</v>
          </cell>
          <cell r="F137" t="str">
            <v/>
          </cell>
          <cell r="G137">
            <v>0</v>
          </cell>
          <cell r="H137">
            <v>0</v>
          </cell>
          <cell r="K137" t="str">
            <v>▪ Trái phiếu chuyển đổi</v>
          </cell>
          <cell r="L137">
            <v>339</v>
          </cell>
          <cell r="M137" t="str">
            <v/>
          </cell>
          <cell r="N137">
            <v>0</v>
          </cell>
          <cell r="O137">
            <v>0</v>
          </cell>
          <cell r="S137" t="str">
            <v>▪ Convertible bonds</v>
          </cell>
          <cell r="T137">
            <v>339</v>
          </cell>
          <cell r="U137" t="str">
            <v/>
          </cell>
          <cell r="V137">
            <v>0</v>
          </cell>
          <cell r="W137">
            <v>0</v>
          </cell>
          <cell r="Z137" t="str">
            <v>▪ Trái phiếu chuyển đổi</v>
          </cell>
          <cell r="AA137">
            <v>339</v>
          </cell>
          <cell r="AB137" t="str">
            <v/>
          </cell>
          <cell r="AC137">
            <v>0</v>
          </cell>
          <cell r="AD137">
            <v>0</v>
          </cell>
        </row>
        <row r="138">
          <cell r="D138" t="str">
            <v>▪ Redeemable preference shares</v>
          </cell>
          <cell r="E138">
            <v>340</v>
          </cell>
          <cell r="F138" t="str">
            <v/>
          </cell>
          <cell r="G138">
            <v>0</v>
          </cell>
          <cell r="H138">
            <v>0</v>
          </cell>
          <cell r="K138" t="str">
            <v>▪ Cổ phiếu ưu đãi</v>
          </cell>
          <cell r="L138">
            <v>340</v>
          </cell>
          <cell r="M138" t="str">
            <v/>
          </cell>
          <cell r="N138">
            <v>0</v>
          </cell>
          <cell r="O138">
            <v>0</v>
          </cell>
          <cell r="S138" t="str">
            <v>▪ Redeemable preference shares</v>
          </cell>
          <cell r="T138">
            <v>340</v>
          </cell>
          <cell r="U138" t="str">
            <v/>
          </cell>
          <cell r="V138">
            <v>0</v>
          </cell>
          <cell r="W138">
            <v>0</v>
          </cell>
          <cell r="Z138" t="str">
            <v>▪ Cổ phiếu ưu đãi</v>
          </cell>
          <cell r="AA138">
            <v>340</v>
          </cell>
          <cell r="AB138" t="str">
            <v/>
          </cell>
          <cell r="AC138">
            <v>0</v>
          </cell>
          <cell r="AD138">
            <v>0</v>
          </cell>
        </row>
        <row r="139">
          <cell r="D139" t="str">
            <v>▪ Deferred tax liabilities</v>
          </cell>
          <cell r="E139">
            <v>341</v>
          </cell>
          <cell r="F139" t="str">
            <v/>
          </cell>
          <cell r="G139">
            <v>0</v>
          </cell>
          <cell r="H139">
            <v>0</v>
          </cell>
          <cell r="J139" t="str">
            <v/>
          </cell>
          <cell r="K139" t="str">
            <v>▪ Thuế thu nhập hoãn lại phải trả</v>
          </cell>
          <cell r="L139">
            <v>341</v>
          </cell>
          <cell r="M139" t="str">
            <v/>
          </cell>
          <cell r="N139">
            <v>0</v>
          </cell>
          <cell r="O139">
            <v>0</v>
          </cell>
          <cell r="R139" t="str">
            <v/>
          </cell>
          <cell r="S139" t="str">
            <v>▪ Deferred tax liabilities</v>
          </cell>
          <cell r="T139">
            <v>341</v>
          </cell>
          <cell r="U139" t="str">
            <v/>
          </cell>
          <cell r="V139">
            <v>0</v>
          </cell>
          <cell r="W139">
            <v>0</v>
          </cell>
          <cell r="Y139" t="str">
            <v/>
          </cell>
          <cell r="Z139" t="str">
            <v>▪ Thuế thu nhập hoãn lại phải trả</v>
          </cell>
          <cell r="AA139">
            <v>341</v>
          </cell>
          <cell r="AB139" t="str">
            <v/>
          </cell>
          <cell r="AC139">
            <v>0</v>
          </cell>
          <cell r="AD139">
            <v>0</v>
          </cell>
        </row>
        <row r="140">
          <cell r="D140" t="str">
            <v>▪ Long-term payable provisions</v>
          </cell>
          <cell r="E140">
            <v>342</v>
          </cell>
          <cell r="F140" t="str">
            <v/>
          </cell>
          <cell r="G140">
            <v>0</v>
          </cell>
          <cell r="H140">
            <v>0</v>
          </cell>
          <cell r="J140" t="str">
            <v/>
          </cell>
          <cell r="K140" t="str">
            <v>▪ Dự phòng phải trả dài hạn</v>
          </cell>
          <cell r="L140">
            <v>342</v>
          </cell>
          <cell r="M140" t="str">
            <v/>
          </cell>
          <cell r="N140">
            <v>0</v>
          </cell>
          <cell r="O140">
            <v>0</v>
          </cell>
          <cell r="R140" t="str">
            <v/>
          </cell>
          <cell r="S140" t="str">
            <v>▪ Long-term payable provisions</v>
          </cell>
          <cell r="T140">
            <v>342</v>
          </cell>
          <cell r="U140" t="str">
            <v/>
          </cell>
          <cell r="V140">
            <v>0</v>
          </cell>
          <cell r="W140">
            <v>0</v>
          </cell>
          <cell r="Y140" t="str">
            <v/>
          </cell>
          <cell r="Z140" t="str">
            <v>▪ Dự phòng phải trả dài hạn</v>
          </cell>
          <cell r="AA140">
            <v>342</v>
          </cell>
          <cell r="AB140" t="str">
            <v/>
          </cell>
          <cell r="AC140">
            <v>0</v>
          </cell>
          <cell r="AD140">
            <v>0</v>
          </cell>
        </row>
        <row r="141">
          <cell r="D141" t="str">
            <v>▪ Scientific and technological
  development fund</v>
          </cell>
          <cell r="E141">
            <v>343</v>
          </cell>
          <cell r="F141" t="str">
            <v/>
          </cell>
          <cell r="G141">
            <v>0</v>
          </cell>
          <cell r="H141">
            <v>0</v>
          </cell>
          <cell r="J141" t="str">
            <v/>
          </cell>
          <cell r="K141" t="str">
            <v>▪ Quỹ phát triển khoa học và
  công nghệ</v>
          </cell>
          <cell r="L141">
            <v>343</v>
          </cell>
          <cell r="M141" t="str">
            <v/>
          </cell>
          <cell r="N141">
            <v>0</v>
          </cell>
          <cell r="O141">
            <v>0</v>
          </cell>
          <cell r="R141" t="str">
            <v/>
          </cell>
          <cell r="S141" t="str">
            <v>▪ Scientific and technological
  development fund</v>
          </cell>
          <cell r="T141">
            <v>343</v>
          </cell>
          <cell r="U141" t="str">
            <v/>
          </cell>
          <cell r="V141">
            <v>0</v>
          </cell>
          <cell r="W141">
            <v>0</v>
          </cell>
          <cell r="Y141" t="str">
            <v/>
          </cell>
          <cell r="Z141" t="str">
            <v>▪ Quỹ phát triển khoa học và
  công nghệ</v>
          </cell>
          <cell r="AA141">
            <v>343</v>
          </cell>
          <cell r="AB141" t="str">
            <v/>
          </cell>
          <cell r="AC141">
            <v>0</v>
          </cell>
          <cell r="AD141">
            <v>0</v>
          </cell>
        </row>
        <row r="142">
          <cell r="J142" t="str">
            <v/>
          </cell>
          <cell r="M142" t="str">
            <v/>
          </cell>
          <cell r="Y142" t="str">
            <v/>
          </cell>
          <cell r="Z142" t="str">
            <v/>
          </cell>
          <cell r="AA142" t="str">
            <v/>
          </cell>
          <cell r="AB142" t="str">
            <v/>
          </cell>
        </row>
        <row r="143">
          <cell r="C143" t="str">
            <v>B.</v>
          </cell>
          <cell r="D143" t="str">
            <v>OWNERS' EQUITY</v>
          </cell>
          <cell r="E143">
            <v>400</v>
          </cell>
          <cell r="G143">
            <v>6648239119</v>
          </cell>
          <cell r="H143">
            <v>7569609455</v>
          </cell>
          <cell r="J143" t="str">
            <v>B.</v>
          </cell>
          <cell r="K143" t="str">
            <v>VỐN CHỦ SỞ HỮU</v>
          </cell>
          <cell r="L143">
            <v>400</v>
          </cell>
          <cell r="M143" t="str">
            <v/>
          </cell>
          <cell r="N143">
            <v>6648239119</v>
          </cell>
          <cell r="O143">
            <v>7569609455</v>
          </cell>
          <cell r="R143" t="str">
            <v>B.</v>
          </cell>
          <cell r="S143" t="str">
            <v>OWNERS' EQUITY</v>
          </cell>
          <cell r="T143">
            <v>400</v>
          </cell>
          <cell r="U143" t="str">
            <v/>
          </cell>
          <cell r="V143">
            <v>151247439955</v>
          </cell>
          <cell r="W143">
            <v>169862036170</v>
          </cell>
          <cell r="Y143" t="str">
            <v>B.</v>
          </cell>
          <cell r="Z143" t="str">
            <v>VỐN CHỦ SỞ HỮU</v>
          </cell>
          <cell r="AA143">
            <v>400</v>
          </cell>
          <cell r="AB143" t="str">
            <v/>
          </cell>
          <cell r="AC143">
            <v>151247439955</v>
          </cell>
          <cell r="AD143">
            <v>169862036170</v>
          </cell>
        </row>
        <row r="144">
          <cell r="J144" t="str">
            <v/>
          </cell>
          <cell r="M144" t="str">
            <v/>
          </cell>
          <cell r="Y144" t="str">
            <v/>
          </cell>
          <cell r="Z144" t="str">
            <v/>
          </cell>
          <cell r="AA144" t="str">
            <v/>
          </cell>
          <cell r="AB144" t="str">
            <v/>
          </cell>
        </row>
        <row r="145">
          <cell r="C145" t="str">
            <v>I.</v>
          </cell>
          <cell r="D145" t="str">
            <v>Owners' equity</v>
          </cell>
          <cell r="E145">
            <v>410</v>
          </cell>
          <cell r="F145">
            <v>18</v>
          </cell>
          <cell r="G145">
            <v>6648239119</v>
          </cell>
          <cell r="H145">
            <v>7569609455</v>
          </cell>
          <cell r="J145" t="str">
            <v>I.</v>
          </cell>
          <cell r="K145" t="str">
            <v>Vốn chủ sở hữu</v>
          </cell>
          <cell r="L145">
            <v>410</v>
          </cell>
          <cell r="M145">
            <v>18</v>
          </cell>
          <cell r="N145">
            <v>6648239119</v>
          </cell>
          <cell r="O145">
            <v>7569609455</v>
          </cell>
          <cell r="R145" t="str">
            <v>I.</v>
          </cell>
          <cell r="S145" t="str">
            <v>Owners' equity</v>
          </cell>
          <cell r="T145">
            <v>410</v>
          </cell>
          <cell r="U145">
            <v>18</v>
          </cell>
          <cell r="V145">
            <v>151247439955</v>
          </cell>
          <cell r="W145">
            <v>169862036170</v>
          </cell>
          <cell r="Y145" t="str">
            <v>I.</v>
          </cell>
          <cell r="Z145" t="str">
            <v>Vốn chủ sở hữu</v>
          </cell>
          <cell r="AA145">
            <v>410</v>
          </cell>
          <cell r="AB145">
            <v>18</v>
          </cell>
          <cell r="AC145">
            <v>151247439955</v>
          </cell>
          <cell r="AD145">
            <v>169862036170</v>
          </cell>
        </row>
        <row r="146">
          <cell r="D146" t="str">
            <v>▪ Contributed capital</v>
          </cell>
          <cell r="E146">
            <v>411</v>
          </cell>
          <cell r="G146">
            <v>13746000000</v>
          </cell>
          <cell r="H146">
            <v>13746000000</v>
          </cell>
          <cell r="J146" t="str">
            <v/>
          </cell>
          <cell r="K146" t="str">
            <v>▪ Vốn góp của chủ sở hữu</v>
          </cell>
          <cell r="L146">
            <v>411</v>
          </cell>
          <cell r="M146" t="str">
            <v/>
          </cell>
          <cell r="N146">
            <v>13746000000</v>
          </cell>
          <cell r="O146">
            <v>13746000000</v>
          </cell>
          <cell r="R146" t="str">
            <v/>
          </cell>
          <cell r="S146" t="str">
            <v>▪ Contributed capital</v>
          </cell>
          <cell r="T146">
            <v>411</v>
          </cell>
          <cell r="U146" t="str">
            <v/>
          </cell>
          <cell r="V146">
            <v>0</v>
          </cell>
          <cell r="W146">
            <v>0</v>
          </cell>
          <cell r="Y146" t="str">
            <v/>
          </cell>
          <cell r="Z146" t="str">
            <v>▪ Vốn góp của chủ sở hữu</v>
          </cell>
          <cell r="AA146">
            <v>411</v>
          </cell>
          <cell r="AB146" t="str">
            <v/>
          </cell>
          <cell r="AC146">
            <v>0</v>
          </cell>
          <cell r="AD146">
            <v>0</v>
          </cell>
        </row>
        <row r="147">
          <cell r="D147" t="str">
            <v xml:space="preserve">  - Common shares embeded 
     the voting right</v>
          </cell>
          <cell r="E147" t="str">
            <v>411a</v>
          </cell>
          <cell r="G147">
            <v>13746000000</v>
          </cell>
          <cell r="H147">
            <v>13746000000</v>
          </cell>
          <cell r="K147" t="str">
            <v xml:space="preserve">  - Cổ phiếu phổ thông có quyền 
      biểu quyết</v>
          </cell>
          <cell r="L147" t="str">
            <v>411a</v>
          </cell>
          <cell r="M147" t="str">
            <v/>
          </cell>
          <cell r="N147">
            <v>13746000000</v>
          </cell>
          <cell r="O147">
            <v>13746000000</v>
          </cell>
          <cell r="S147" t="str">
            <v xml:space="preserve">  - Common shares embeded 
     the voting right</v>
          </cell>
          <cell r="T147" t="str">
            <v>411a</v>
          </cell>
          <cell r="V147">
            <v>0</v>
          </cell>
          <cell r="W147">
            <v>0</v>
          </cell>
          <cell r="Z147" t="str">
            <v xml:space="preserve">  - Cổ phiếu phổ thông có quyền 
      biểu quyết</v>
          </cell>
          <cell r="AA147" t="str">
            <v>411a</v>
          </cell>
          <cell r="AC147">
            <v>0</v>
          </cell>
          <cell r="AD147">
            <v>0</v>
          </cell>
        </row>
        <row r="148">
          <cell r="D148" t="str">
            <v xml:space="preserve">  - Irredeemable preference shares</v>
          </cell>
          <cell r="E148" t="str">
            <v>411b</v>
          </cell>
          <cell r="G148">
            <v>0</v>
          </cell>
          <cell r="H148">
            <v>0</v>
          </cell>
          <cell r="K148" t="str">
            <v xml:space="preserve">  - Cổ phiếu ưu đãi</v>
          </cell>
          <cell r="L148" t="str">
            <v>411b</v>
          </cell>
          <cell r="M148" t="str">
            <v/>
          </cell>
          <cell r="N148">
            <v>0</v>
          </cell>
          <cell r="O148">
            <v>0</v>
          </cell>
          <cell r="S148" t="str">
            <v xml:space="preserve">  - Irredeemable preference shares</v>
          </cell>
          <cell r="T148" t="str">
            <v>411b</v>
          </cell>
          <cell r="V148">
            <v>0</v>
          </cell>
          <cell r="W148">
            <v>0</v>
          </cell>
          <cell r="Z148" t="str">
            <v xml:space="preserve">  - Cổ phiếu ưu đãi</v>
          </cell>
          <cell r="AA148" t="str">
            <v>411b</v>
          </cell>
          <cell r="AC148">
            <v>0</v>
          </cell>
          <cell r="AD148">
            <v>0</v>
          </cell>
        </row>
        <row r="149">
          <cell r="D149" t="str">
            <v>▪ Share premium</v>
          </cell>
          <cell r="E149">
            <v>412</v>
          </cell>
          <cell r="G149">
            <v>0</v>
          </cell>
          <cell r="H149">
            <v>0</v>
          </cell>
          <cell r="J149" t="str">
            <v/>
          </cell>
          <cell r="K149" t="str">
            <v>▪ Thặng dư vốn cổ phần</v>
          </cell>
          <cell r="L149">
            <v>412</v>
          </cell>
          <cell r="M149" t="str">
            <v/>
          </cell>
          <cell r="N149">
            <v>0</v>
          </cell>
          <cell r="O149">
            <v>0</v>
          </cell>
          <cell r="R149" t="str">
            <v/>
          </cell>
          <cell r="S149" t="str">
            <v>▪ Share premium</v>
          </cell>
          <cell r="T149">
            <v>412</v>
          </cell>
          <cell r="U149" t="str">
            <v/>
          </cell>
          <cell r="V149">
            <v>0</v>
          </cell>
          <cell r="W149">
            <v>0</v>
          </cell>
          <cell r="Y149" t="str">
            <v/>
          </cell>
          <cell r="Z149" t="str">
            <v>▪ Thặng dư vốn cổ phần</v>
          </cell>
          <cell r="AA149">
            <v>412</v>
          </cell>
          <cell r="AB149" t="str">
            <v/>
          </cell>
          <cell r="AC149">
            <v>0</v>
          </cell>
          <cell r="AD149">
            <v>0</v>
          </cell>
        </row>
        <row r="150">
          <cell r="D150" t="str">
            <v>▪ Option to convert bonds</v>
          </cell>
          <cell r="E150">
            <v>413</v>
          </cell>
          <cell r="G150">
            <v>0</v>
          </cell>
          <cell r="H150">
            <v>0</v>
          </cell>
          <cell r="K150" t="str">
            <v>▪ Quyền chọn chuyển đổi trái phiếu</v>
          </cell>
          <cell r="L150">
            <v>413</v>
          </cell>
          <cell r="M150" t="str">
            <v/>
          </cell>
          <cell r="S150" t="str">
            <v>▪ Option to convert bonds</v>
          </cell>
          <cell r="T150">
            <v>413</v>
          </cell>
          <cell r="V150">
            <v>0</v>
          </cell>
          <cell r="W150">
            <v>0</v>
          </cell>
          <cell r="Z150" t="str">
            <v>▪ Quyền chọn chuyển đổi trái phiếu</v>
          </cell>
          <cell r="AA150">
            <v>413</v>
          </cell>
          <cell r="AC150">
            <v>0</v>
          </cell>
          <cell r="AD150">
            <v>0</v>
          </cell>
        </row>
        <row r="151">
          <cell r="D151" t="str">
            <v>▪ Other capital</v>
          </cell>
          <cell r="E151">
            <v>414</v>
          </cell>
          <cell r="G151">
            <v>0</v>
          </cell>
          <cell r="H151">
            <v>0</v>
          </cell>
          <cell r="J151" t="str">
            <v/>
          </cell>
          <cell r="K151" t="str">
            <v xml:space="preserve">▪ Vốn khác của chủ sở hữu </v>
          </cell>
          <cell r="L151">
            <v>414</v>
          </cell>
          <cell r="M151" t="str">
            <v/>
          </cell>
          <cell r="N151">
            <v>0</v>
          </cell>
          <cell r="O151">
            <v>0</v>
          </cell>
          <cell r="R151" t="str">
            <v/>
          </cell>
          <cell r="S151" t="str">
            <v>▪ Other capital</v>
          </cell>
          <cell r="T151">
            <v>414</v>
          </cell>
          <cell r="U151" t="str">
            <v/>
          </cell>
          <cell r="V151">
            <v>0</v>
          </cell>
          <cell r="W151">
            <v>0</v>
          </cell>
          <cell r="Y151" t="str">
            <v/>
          </cell>
          <cell r="Z151" t="str">
            <v xml:space="preserve">▪ Vốn khác của chủ sở hữu </v>
          </cell>
          <cell r="AA151">
            <v>414</v>
          </cell>
          <cell r="AB151" t="str">
            <v/>
          </cell>
          <cell r="AC151">
            <v>0</v>
          </cell>
          <cell r="AD151">
            <v>0</v>
          </cell>
        </row>
        <row r="152">
          <cell r="D152" t="str">
            <v>▪ Treasury shares</v>
          </cell>
          <cell r="E152">
            <v>415</v>
          </cell>
          <cell r="G152">
            <v>0</v>
          </cell>
          <cell r="H152">
            <v>0</v>
          </cell>
          <cell r="J152" t="str">
            <v/>
          </cell>
          <cell r="K152" t="str">
            <v xml:space="preserve">▪ Cổ phiếu quỹ </v>
          </cell>
          <cell r="L152">
            <v>415</v>
          </cell>
          <cell r="M152" t="str">
            <v/>
          </cell>
          <cell r="N152">
            <v>0</v>
          </cell>
          <cell r="O152">
            <v>0</v>
          </cell>
          <cell r="R152" t="str">
            <v/>
          </cell>
          <cell r="S152" t="str">
            <v>▪ Treasury shares</v>
          </cell>
          <cell r="T152">
            <v>415</v>
          </cell>
          <cell r="U152" t="str">
            <v/>
          </cell>
          <cell r="V152">
            <v>0</v>
          </cell>
          <cell r="W152">
            <v>0</v>
          </cell>
          <cell r="Y152" t="str">
            <v/>
          </cell>
          <cell r="Z152" t="str">
            <v xml:space="preserve">▪ Cổ phiếu quỹ </v>
          </cell>
          <cell r="AA152">
            <v>415</v>
          </cell>
          <cell r="AB152" t="str">
            <v/>
          </cell>
          <cell r="AC152">
            <v>0</v>
          </cell>
          <cell r="AD152">
            <v>0</v>
          </cell>
        </row>
        <row r="153">
          <cell r="D153" t="str">
            <v>▪ Difference in revaluation of assets</v>
          </cell>
          <cell r="E153">
            <v>416</v>
          </cell>
          <cell r="G153">
            <v>0</v>
          </cell>
          <cell r="H153">
            <v>0</v>
          </cell>
          <cell r="J153" t="str">
            <v/>
          </cell>
          <cell r="K153" t="str">
            <v>▪ Chênh lệnh đánh giá lại tài sản</v>
          </cell>
          <cell r="L153">
            <v>416</v>
          </cell>
          <cell r="M153" t="str">
            <v/>
          </cell>
          <cell r="N153">
            <v>0</v>
          </cell>
          <cell r="O153">
            <v>0</v>
          </cell>
          <cell r="R153" t="str">
            <v/>
          </cell>
          <cell r="S153" t="str">
            <v>▪ Difference in revaluation of assets</v>
          </cell>
          <cell r="T153">
            <v>416</v>
          </cell>
          <cell r="U153" t="str">
            <v/>
          </cell>
          <cell r="V153">
            <v>0</v>
          </cell>
          <cell r="W153">
            <v>0</v>
          </cell>
          <cell r="Y153" t="str">
            <v/>
          </cell>
          <cell r="Z153" t="str">
            <v>▪ Chênh lệnh đánh giá lại tài sản</v>
          </cell>
          <cell r="AA153">
            <v>416</v>
          </cell>
          <cell r="AB153" t="str">
            <v/>
          </cell>
          <cell r="AC153">
            <v>0</v>
          </cell>
          <cell r="AD153">
            <v>0</v>
          </cell>
        </row>
        <row r="154">
          <cell r="D154" t="str">
            <v>▪ Foreign exchange differences</v>
          </cell>
          <cell r="E154">
            <v>417</v>
          </cell>
          <cell r="G154">
            <v>0</v>
          </cell>
          <cell r="H154">
            <v>0</v>
          </cell>
          <cell r="J154" t="str">
            <v/>
          </cell>
          <cell r="K154" t="str">
            <v>▪ Chênh lệch tỷ giá hối đoái</v>
          </cell>
          <cell r="L154">
            <v>417</v>
          </cell>
          <cell r="M154" t="str">
            <v/>
          </cell>
          <cell r="N154">
            <v>0</v>
          </cell>
          <cell r="O154">
            <v>0</v>
          </cell>
          <cell r="R154" t="str">
            <v/>
          </cell>
          <cell r="S154" t="str">
            <v>▪ Foreign exchange differences</v>
          </cell>
          <cell r="T154">
            <v>417</v>
          </cell>
          <cell r="U154" t="str">
            <v/>
          </cell>
          <cell r="V154">
            <v>169380392640</v>
          </cell>
          <cell r="W154">
            <v>167411575550</v>
          </cell>
          <cell r="Y154" t="str">
            <v/>
          </cell>
          <cell r="Z154" t="str">
            <v>▪ Chênh lệch tỷ giá hối đoái</v>
          </cell>
          <cell r="AA154">
            <v>417</v>
          </cell>
          <cell r="AB154" t="str">
            <v/>
          </cell>
          <cell r="AC154">
            <v>169380392640</v>
          </cell>
          <cell r="AD154">
            <v>167411575550</v>
          </cell>
        </row>
        <row r="155">
          <cell r="D155" t="str">
            <v>▪ Investment and development fund</v>
          </cell>
          <cell r="E155">
            <v>418</v>
          </cell>
          <cell r="G155">
            <v>0</v>
          </cell>
          <cell r="H155">
            <v>0</v>
          </cell>
          <cell r="J155" t="str">
            <v/>
          </cell>
          <cell r="K155" t="str">
            <v>▪ Quỹ đầu tư phát triển</v>
          </cell>
          <cell r="L155">
            <v>418</v>
          </cell>
          <cell r="M155" t="str">
            <v/>
          </cell>
          <cell r="N155">
            <v>0</v>
          </cell>
          <cell r="O155">
            <v>0</v>
          </cell>
          <cell r="R155" t="str">
            <v/>
          </cell>
          <cell r="S155" t="str">
            <v>▪ Investment and development fund</v>
          </cell>
          <cell r="T155">
            <v>418</v>
          </cell>
          <cell r="U155" t="str">
            <v/>
          </cell>
          <cell r="V155">
            <v>0</v>
          </cell>
          <cell r="W155">
            <v>0</v>
          </cell>
          <cell r="Y155" t="str">
            <v/>
          </cell>
          <cell r="Z155" t="str">
            <v>▪ Quỹ đầu tư phát triển</v>
          </cell>
          <cell r="AA155">
            <v>418</v>
          </cell>
          <cell r="AB155" t="str">
            <v/>
          </cell>
          <cell r="AC155">
            <v>0</v>
          </cell>
          <cell r="AD155">
            <v>0</v>
          </cell>
        </row>
        <row r="156">
          <cell r="D156" t="str">
            <v>▪ Enterprise restructuring support fund</v>
          </cell>
          <cell r="E156">
            <v>419</v>
          </cell>
          <cell r="G156">
            <v>0</v>
          </cell>
          <cell r="H156">
            <v>0</v>
          </cell>
          <cell r="J156" t="str">
            <v/>
          </cell>
          <cell r="K156" t="str">
            <v>▪ Quỹ hỗ trợ sắp xếp doanh nghiệp</v>
          </cell>
          <cell r="L156">
            <v>419</v>
          </cell>
          <cell r="M156" t="str">
            <v/>
          </cell>
          <cell r="N156">
            <v>0</v>
          </cell>
          <cell r="O156">
            <v>0</v>
          </cell>
          <cell r="R156" t="str">
            <v/>
          </cell>
          <cell r="S156" t="str">
            <v>▪ Enterprise restructuring support fund</v>
          </cell>
          <cell r="T156">
            <v>419</v>
          </cell>
          <cell r="U156" t="str">
            <v/>
          </cell>
          <cell r="V156">
            <v>0</v>
          </cell>
          <cell r="W156">
            <v>0</v>
          </cell>
          <cell r="Y156" t="str">
            <v/>
          </cell>
          <cell r="Z156" t="str">
            <v>▪ Quỹ hỗ trợ sắp xếp doanh nghiệp</v>
          </cell>
          <cell r="AA156">
            <v>419</v>
          </cell>
          <cell r="AB156" t="str">
            <v/>
          </cell>
          <cell r="AC156">
            <v>0</v>
          </cell>
          <cell r="AD156">
            <v>0</v>
          </cell>
        </row>
        <row r="157">
          <cell r="D157" t="str">
            <v>▪ Other equity funds</v>
          </cell>
          <cell r="E157">
            <v>420</v>
          </cell>
          <cell r="G157">
            <v>0</v>
          </cell>
          <cell r="H157">
            <v>0</v>
          </cell>
          <cell r="J157" t="str">
            <v/>
          </cell>
          <cell r="K157" t="str">
            <v>▪ Quỹ khác thuộc vốn chủ sở hữu</v>
          </cell>
          <cell r="L157">
            <v>420</v>
          </cell>
          <cell r="M157" t="str">
            <v/>
          </cell>
          <cell r="N157">
            <v>0</v>
          </cell>
          <cell r="O157">
            <v>0</v>
          </cell>
          <cell r="R157" t="str">
            <v/>
          </cell>
          <cell r="S157" t="str">
            <v>▪ Other equity funds</v>
          </cell>
          <cell r="T157">
            <v>420</v>
          </cell>
          <cell r="U157" t="str">
            <v/>
          </cell>
          <cell r="V157">
            <v>0</v>
          </cell>
          <cell r="W157">
            <v>0</v>
          </cell>
          <cell r="Y157" t="str">
            <v/>
          </cell>
          <cell r="Z157" t="str">
            <v>▪ Quỹ khác thuộc vốn chủ sở hữu</v>
          </cell>
          <cell r="AA157">
            <v>420</v>
          </cell>
          <cell r="AB157" t="str">
            <v/>
          </cell>
          <cell r="AC157">
            <v>0</v>
          </cell>
          <cell r="AD157">
            <v>0</v>
          </cell>
        </row>
        <row r="158">
          <cell r="D158" t="str">
            <v>▪ Accumulated losses</v>
          </cell>
          <cell r="E158">
            <v>421</v>
          </cell>
          <cell r="G158">
            <v>-7097760881</v>
          </cell>
          <cell r="H158">
            <v>-6176390545</v>
          </cell>
          <cell r="J158" t="str">
            <v/>
          </cell>
          <cell r="K158" t="str">
            <v>▪ Lỗ lũy kế</v>
          </cell>
          <cell r="L158">
            <v>421</v>
          </cell>
          <cell r="M158" t="str">
            <v/>
          </cell>
          <cell r="N158">
            <v>-7097760881</v>
          </cell>
          <cell r="O158">
            <v>-6176390545</v>
          </cell>
          <cell r="R158" t="str">
            <v/>
          </cell>
          <cell r="S158" t="str">
            <v>▪ Accumulated losses</v>
          </cell>
          <cell r="T158">
            <v>421</v>
          </cell>
          <cell r="U158" t="str">
            <v/>
          </cell>
          <cell r="V158">
            <v>-18132952685</v>
          </cell>
          <cell r="W158">
            <v>2450460620</v>
          </cell>
          <cell r="Y158" t="str">
            <v/>
          </cell>
          <cell r="Z158" t="str">
            <v>▪ Lỗ lũy kế</v>
          </cell>
          <cell r="AA158">
            <v>421</v>
          </cell>
          <cell r="AB158" t="str">
            <v/>
          </cell>
          <cell r="AC158">
            <v>-18132952685</v>
          </cell>
          <cell r="AD158">
            <v>2450460620</v>
          </cell>
        </row>
        <row r="159">
          <cell r="D159" t="str">
            <v xml:space="preserve">  - Previous years' accumulated losses</v>
          </cell>
          <cell r="E159" t="str">
            <v>421a</v>
          </cell>
          <cell r="G159">
            <v>-6176390545</v>
          </cell>
          <cell r="H159">
            <v>-6290591391</v>
          </cell>
          <cell r="K159" t="str">
            <v>- Lỗ lũy kế đến cuối kỳ trước</v>
          </cell>
          <cell r="L159" t="str">
            <v>421a</v>
          </cell>
          <cell r="M159" t="str">
            <v/>
          </cell>
          <cell r="N159">
            <v>-6176390545</v>
          </cell>
          <cell r="O159">
            <v>-6290591391</v>
          </cell>
          <cell r="S159" t="str">
            <v xml:space="preserve">  - Previous years' accumulated losses</v>
          </cell>
          <cell r="T159" t="str">
            <v>421a</v>
          </cell>
          <cell r="V159">
            <v>2450460620</v>
          </cell>
          <cell r="W159">
            <v>-53050326</v>
          </cell>
          <cell r="Z159" t="str">
            <v>- Lỗ lũy kế đến cuối kỳ trước</v>
          </cell>
          <cell r="AA159" t="str">
            <v>421a</v>
          </cell>
          <cell r="AC159">
            <v>2450460620</v>
          </cell>
          <cell r="AD159">
            <v>-53050326</v>
          </cell>
        </row>
        <row r="161">
          <cell r="D161" t="str">
            <v xml:space="preserve">  - Current year's 
   (losses)/retained profits</v>
          </cell>
          <cell r="E161" t="str">
            <v>421b</v>
          </cell>
          <cell r="G161">
            <v>-921370336</v>
          </cell>
          <cell r="H161">
            <v>114200846</v>
          </cell>
          <cell r="K161" t="str">
            <v>- (Lỗ)/lợi nhuận sau thuế chưa phân phối 
  kỳ này</v>
          </cell>
          <cell r="L161" t="str">
            <v>421b</v>
          </cell>
          <cell r="M161" t="str">
            <v/>
          </cell>
          <cell r="N161">
            <v>-921370336</v>
          </cell>
          <cell r="O161">
            <v>114200846</v>
          </cell>
          <cell r="S161" t="str">
            <v xml:space="preserve">  - Current year's 
   (losses)/retained profits</v>
          </cell>
          <cell r="T161" t="str">
            <v>421b</v>
          </cell>
          <cell r="V161">
            <v>-20583413305</v>
          </cell>
          <cell r="W161">
            <v>2503510946</v>
          </cell>
          <cell r="Z161" t="str">
            <v>- (Lỗ)/lợi nhuận sau thuế chưa phân phối 
  kỳ này</v>
          </cell>
          <cell r="AA161" t="str">
            <v>421b</v>
          </cell>
          <cell r="AC161">
            <v>-20583413305</v>
          </cell>
          <cell r="AD161">
            <v>2503510946</v>
          </cell>
        </row>
        <row r="163">
          <cell r="D163" t="str">
            <v>▪ Capital expenditure fund</v>
          </cell>
          <cell r="E163">
            <v>422</v>
          </cell>
          <cell r="G163">
            <v>0</v>
          </cell>
          <cell r="H163">
            <v>0</v>
          </cell>
          <cell r="K163" t="str">
            <v>▪ Nguồn vốn đầu tư XDCB</v>
          </cell>
          <cell r="L163">
            <v>422</v>
          </cell>
          <cell r="M163" t="str">
            <v/>
          </cell>
          <cell r="N163">
            <v>0</v>
          </cell>
          <cell r="O163">
            <v>0</v>
          </cell>
          <cell r="R163" t="str">
            <v/>
          </cell>
          <cell r="S163" t="str">
            <v>▪ Capital expenditure fund</v>
          </cell>
          <cell r="T163">
            <v>422</v>
          </cell>
          <cell r="U163" t="str">
            <v/>
          </cell>
          <cell r="V163">
            <v>0</v>
          </cell>
          <cell r="W163">
            <v>0</v>
          </cell>
          <cell r="Y163" t="str">
            <v/>
          </cell>
          <cell r="Z163" t="str">
            <v>▪ Nguồn vốn đầu tư XDCB</v>
          </cell>
          <cell r="AA163">
            <v>422</v>
          </cell>
          <cell r="AB163" t="str">
            <v/>
          </cell>
          <cell r="AC163">
            <v>0</v>
          </cell>
          <cell r="AD163">
            <v>0</v>
          </cell>
        </row>
        <row r="164">
          <cell r="D164" t="str">
            <v>▪ Non-controlling interest</v>
          </cell>
          <cell r="E164">
            <v>429</v>
          </cell>
          <cell r="G164">
            <v>0</v>
          </cell>
          <cell r="H164">
            <v>0</v>
          </cell>
          <cell r="K164" t="str">
            <v>▪ Lợi ích cổ đông không kiểm soát</v>
          </cell>
          <cell r="L164">
            <v>429</v>
          </cell>
          <cell r="M164" t="str">
            <v/>
          </cell>
          <cell r="N164">
            <v>0</v>
          </cell>
          <cell r="O164">
            <v>0</v>
          </cell>
          <cell r="R164" t="str">
            <v/>
          </cell>
          <cell r="S164" t="str">
            <v>▪ Non-controlling interest</v>
          </cell>
          <cell r="T164">
            <v>429</v>
          </cell>
          <cell r="U164" t="str">
            <v/>
          </cell>
          <cell r="V164">
            <v>0</v>
          </cell>
          <cell r="W164">
            <v>0</v>
          </cell>
          <cell r="Y164" t="str">
            <v/>
          </cell>
          <cell r="Z164" t="str">
            <v>▪ Lợi ích cổ đông không kiểm soát</v>
          </cell>
          <cell r="AA164">
            <v>429</v>
          </cell>
          <cell r="AB164" t="str">
            <v/>
          </cell>
          <cell r="AC164">
            <v>0</v>
          </cell>
          <cell r="AD164">
            <v>0</v>
          </cell>
        </row>
        <row r="165">
          <cell r="J165" t="str">
            <v/>
          </cell>
          <cell r="M165" t="str">
            <v/>
          </cell>
          <cell r="Y165" t="str">
            <v/>
          </cell>
          <cell r="Z165" t="str">
            <v/>
          </cell>
          <cell r="AA165" t="str">
            <v/>
          </cell>
          <cell r="AB165" t="str">
            <v/>
          </cell>
        </row>
        <row r="166">
          <cell r="C166" t="str">
            <v>II.</v>
          </cell>
          <cell r="D166" t="str">
            <v>Other reserves and funds</v>
          </cell>
          <cell r="E166">
            <v>430</v>
          </cell>
          <cell r="G166">
            <v>0</v>
          </cell>
          <cell r="H166">
            <v>0</v>
          </cell>
          <cell r="J166" t="str">
            <v>II.</v>
          </cell>
          <cell r="K166" t="str">
            <v>Nguồn kinh phí và quỹ khác</v>
          </cell>
          <cell r="L166">
            <v>430</v>
          </cell>
          <cell r="M166" t="str">
            <v/>
          </cell>
          <cell r="N166">
            <v>0</v>
          </cell>
          <cell r="O166">
            <v>0</v>
          </cell>
          <cell r="R166" t="str">
            <v>II.</v>
          </cell>
          <cell r="S166" t="str">
            <v>Other reserves and funds</v>
          </cell>
          <cell r="T166">
            <v>430</v>
          </cell>
          <cell r="U166" t="str">
            <v/>
          </cell>
          <cell r="V166">
            <v>0</v>
          </cell>
          <cell r="W166">
            <v>0</v>
          </cell>
          <cell r="Y166" t="str">
            <v>II.</v>
          </cell>
          <cell r="Z166" t="str">
            <v>Nguồn kinh phí và quỹ khác</v>
          </cell>
          <cell r="AA166">
            <v>430</v>
          </cell>
          <cell r="AB166" t="str">
            <v/>
          </cell>
          <cell r="AC166">
            <v>0</v>
          </cell>
          <cell r="AD166">
            <v>0</v>
          </cell>
        </row>
        <row r="167">
          <cell r="D167" t="str">
            <v>▪ Non-business expenditure fund</v>
          </cell>
          <cell r="E167">
            <v>431</v>
          </cell>
          <cell r="F167" t="str">
            <v/>
          </cell>
          <cell r="G167">
            <v>0</v>
          </cell>
          <cell r="H167">
            <v>0</v>
          </cell>
          <cell r="K167" t="str">
            <v>▪ Nguồn kinh phí</v>
          </cell>
          <cell r="L167">
            <v>431</v>
          </cell>
          <cell r="M167" t="str">
            <v/>
          </cell>
          <cell r="N167">
            <v>0</v>
          </cell>
          <cell r="O167">
            <v>0</v>
          </cell>
          <cell r="R167" t="str">
            <v/>
          </cell>
          <cell r="S167" t="str">
            <v>▪ Non-business expenditure fund</v>
          </cell>
          <cell r="T167">
            <v>431</v>
          </cell>
          <cell r="U167" t="str">
            <v/>
          </cell>
          <cell r="V167">
            <v>0</v>
          </cell>
          <cell r="W167">
            <v>0</v>
          </cell>
          <cell r="Y167" t="str">
            <v/>
          </cell>
          <cell r="Z167" t="str">
            <v>▪ Nguồn kinh phí</v>
          </cell>
          <cell r="AA167">
            <v>431</v>
          </cell>
          <cell r="AB167" t="str">
            <v/>
          </cell>
          <cell r="AC167">
            <v>0</v>
          </cell>
          <cell r="AD167">
            <v>0</v>
          </cell>
        </row>
        <row r="168">
          <cell r="D168" t="str">
            <v>▪ Non-business expenditure fund
   invested in fixed assets</v>
          </cell>
          <cell r="E168">
            <v>432</v>
          </cell>
          <cell r="F168" t="str">
            <v/>
          </cell>
          <cell r="G168">
            <v>0</v>
          </cell>
          <cell r="H168">
            <v>0</v>
          </cell>
          <cell r="K168" t="str">
            <v>▪ Nguồn kinh phí đã hình thành 
  TSCĐ</v>
          </cell>
          <cell r="L168">
            <v>432</v>
          </cell>
          <cell r="M168" t="str">
            <v/>
          </cell>
          <cell r="N168">
            <v>0</v>
          </cell>
          <cell r="O168">
            <v>0</v>
          </cell>
          <cell r="R168" t="str">
            <v/>
          </cell>
          <cell r="S168" t="str">
            <v>▪ Non-business expenditure fund
   invested in fixed assets</v>
          </cell>
          <cell r="T168">
            <v>432</v>
          </cell>
          <cell r="U168" t="str">
            <v/>
          </cell>
          <cell r="V168">
            <v>0</v>
          </cell>
          <cell r="W168">
            <v>0</v>
          </cell>
          <cell r="Y168" t="str">
            <v/>
          </cell>
          <cell r="Z168" t="str">
            <v>▪ Nguồn kinh phí đã hình thành 
  TSCĐ</v>
          </cell>
          <cell r="AA168">
            <v>432</v>
          </cell>
          <cell r="AB168" t="str">
            <v/>
          </cell>
          <cell r="AC168">
            <v>0</v>
          </cell>
          <cell r="AD168">
            <v>0</v>
          </cell>
        </row>
        <row r="169">
          <cell r="J169" t="str">
            <v/>
          </cell>
          <cell r="M169" t="str">
            <v/>
          </cell>
          <cell r="Y169" t="str">
            <v/>
          </cell>
          <cell r="Z169" t="str">
            <v/>
          </cell>
          <cell r="AA169" t="str">
            <v/>
          </cell>
          <cell r="AB169" t="str">
            <v/>
          </cell>
        </row>
        <row r="170">
          <cell r="C170" t="str">
            <v>TOTAL RESOURCES</v>
          </cell>
          <cell r="E170">
            <v>440</v>
          </cell>
          <cell r="G170">
            <v>7801974514</v>
          </cell>
          <cell r="H170">
            <v>8500779311</v>
          </cell>
          <cell r="J170" t="str">
            <v>TỔNG CỘNG NGUỒN VỐN</v>
          </cell>
          <cell r="L170">
            <v>440</v>
          </cell>
          <cell r="N170">
            <v>7801974514</v>
          </cell>
          <cell r="O170">
            <v>8500779311</v>
          </cell>
          <cell r="R170" t="str">
            <v>TOTAL RESOURCES</v>
          </cell>
          <cell r="S170" t="str">
            <v/>
          </cell>
          <cell r="T170">
            <v>440</v>
          </cell>
          <cell r="U170" t="str">
            <v/>
          </cell>
          <cell r="V170">
            <v>177494920193</v>
          </cell>
          <cell r="W170">
            <v>190757487739</v>
          </cell>
          <cell r="Y170" t="str">
            <v>TỔNG CỘNG NGUỒN VỐN</v>
          </cell>
          <cell r="Z170" t="str">
            <v/>
          </cell>
          <cell r="AA170">
            <v>440</v>
          </cell>
          <cell r="AB170" t="str">
            <v/>
          </cell>
          <cell r="AC170">
            <v>177494920193</v>
          </cell>
          <cell r="AD170">
            <v>190757487739</v>
          </cell>
        </row>
        <row r="181">
          <cell r="C181" t="str">
            <v>Vo Thi Nguyen Linh</v>
          </cell>
          <cell r="E181" t="str">
            <v>Vo Thi Nguyen Linh</v>
          </cell>
          <cell r="H181" t="str">
            <v>Kutagi</v>
          </cell>
          <cell r="J181" t="str">
            <v>Võ Thị Nguyên Linh</v>
          </cell>
          <cell r="L181" t="str">
            <v>Võ Thị Nguyên Linh</v>
          </cell>
          <cell r="O181" t="str">
            <v>Kutagi</v>
          </cell>
          <cell r="R181" t="str">
            <v>Vo Thi Nguyen Linh</v>
          </cell>
          <cell r="T181" t="str">
            <v>Vo Thi Nguyen Linh</v>
          </cell>
          <cell r="W181" t="str">
            <v>Kutagi</v>
          </cell>
          <cell r="Y181" t="str">
            <v>Võ Thị Nguyên Linh</v>
          </cell>
          <cell r="AA181" t="str">
            <v>Võ Thị Nguyên Linh</v>
          </cell>
          <cell r="AD181" t="str">
            <v>Kutagi</v>
          </cell>
        </row>
        <row r="182">
          <cell r="C182" t="str">
            <v>Preparer</v>
          </cell>
          <cell r="E182" t="str">
            <v>Chief Accountant</v>
          </cell>
          <cell r="H182" t="str">
            <v>General Director</v>
          </cell>
          <cell r="J182" t="str">
            <v>Người lập biểu</v>
          </cell>
          <cell r="L182" t="str">
            <v>Kế toán trưởng</v>
          </cell>
          <cell r="O182" t="str">
            <v>Tổng Giám đốc</v>
          </cell>
          <cell r="R182" t="str">
            <v>Preparer</v>
          </cell>
          <cell r="T182" t="str">
            <v>Chief Accountant</v>
          </cell>
          <cell r="W182" t="str">
            <v>General Director</v>
          </cell>
          <cell r="Y182" t="str">
            <v>Người lập biểu</v>
          </cell>
          <cell r="AA182" t="str">
            <v>Kế toán trưởng</v>
          </cell>
          <cell r="AD182" t="str">
            <v>Tổng Giám đốc</v>
          </cell>
        </row>
        <row r="183">
          <cell r="C183" t="str">
            <v>Certificate No. 1065/KET</v>
          </cell>
          <cell r="J183" t="str">
            <v>Số chứng chỉ hành nghề: 1065/KET</v>
          </cell>
          <cell r="R183" t="str">
            <v>Certificate No. 1065/KET</v>
          </cell>
          <cell r="Y183" t="str">
            <v>Số chứng chỉ hành nghề: 1065/KET</v>
          </cell>
        </row>
        <row r="185">
          <cell r="H185" t="str">
            <v>25 July 2023</v>
          </cell>
          <cell r="O185" t="str">
            <v>Ngày 25 tháng 07 năm 2023</v>
          </cell>
          <cell r="W185" t="str">
            <v>25 July 2023</v>
          </cell>
          <cell r="AD185" t="str">
            <v>Ngày 25 tháng 07 năm 2023</v>
          </cell>
        </row>
        <row r="186">
          <cell r="C186" t="str">
            <v>DEF Company Limited</v>
          </cell>
          <cell r="J186" t="str">
            <v>Công ty TNHH DEF</v>
          </cell>
          <cell r="R186" t="str">
            <v>DEF Company Limited</v>
          </cell>
          <cell r="Y186" t="str">
            <v>Công ty TNHH DEF</v>
          </cell>
        </row>
        <row r="187">
          <cell r="C187" t="str">
            <v>122 Nguyen Cong Tru Street, Nguyen Thai Binh Ward, Ho Chi Minh City, Vietnam</v>
          </cell>
          <cell r="J187" t="str">
            <v>122 Nguyễn Công Trứ, Phường Nguyễn Thái Bình, Thành phố Hồ Chí Minh, Việt Nam</v>
          </cell>
          <cell r="R187" t="str">
            <v>122 Nguyen Cong Tru Street, Nguyen Thai Binh Ward, Ho Chi Minh City, Vietnam</v>
          </cell>
          <cell r="Y187" t="str">
            <v>122 Nguyễn Công Trứ, Phường Nguyễn Thái Bình, Thành phố Hồ Chí Minh, Việt Nam</v>
          </cell>
        </row>
        <row r="188">
          <cell r="R188">
            <v>0</v>
          </cell>
          <cell r="Y188">
            <v>0</v>
          </cell>
        </row>
        <row r="189">
          <cell r="R189">
            <v>0</v>
          </cell>
          <cell r="Y189">
            <v>0</v>
          </cell>
        </row>
        <row r="190">
          <cell r="T190" t="str">
            <v/>
          </cell>
          <cell r="U190" t="str">
            <v/>
          </cell>
        </row>
        <row r="191">
          <cell r="C191" t="str">
            <v>Crowe Vietnam Master Binder Template v1.1</v>
          </cell>
          <cell r="H191" t="str">
            <v>B02-DN</v>
          </cell>
          <cell r="J191" t="str">
            <v>Crowe Vietnam Master Binder Template v1.1</v>
          </cell>
          <cell r="O191" t="str">
            <v>B02-DN</v>
          </cell>
          <cell r="R191" t="str">
            <v>Crowe Vietnam Master Binder Template v1.1</v>
          </cell>
          <cell r="W191" t="str">
            <v>B02-DN</v>
          </cell>
          <cell r="Y191" t="str">
            <v>Crowe Vietnam Master Binder Template v1.1</v>
          </cell>
          <cell r="AD191" t="str">
            <v>B02-DN</v>
          </cell>
        </row>
        <row r="192">
          <cell r="H192" t="str">
            <v>(Issued in accordance with Circular No. 200/2014/TT-BTC</v>
          </cell>
          <cell r="O192" t="str">
            <v>(Ban hành theo Thông tư số 200/2014/TT-BTC</v>
          </cell>
          <cell r="W192" t="str">
            <v>(Issued in accordance with Circular No. 200/2014/TT-BTC</v>
          </cell>
          <cell r="AD192" t="str">
            <v>(Ban hành theo Thông tư số 200/2014/TT-BTC</v>
          </cell>
        </row>
        <row r="193">
          <cell r="H193" t="str">
            <v>dated 22 December 2014 of the Ministry of Finance)</v>
          </cell>
          <cell r="O193" t="str">
            <v>ngày 22 tháng 12 năm 2014 của Bộ Tài chính)</v>
          </cell>
          <cell r="W193" t="str">
            <v>dated 22 December 2014 of the Ministry of Finance)</v>
          </cell>
          <cell r="AD193" t="str">
            <v>ngày 22 tháng 12 năm 2014 của Bộ Tài chính)</v>
          </cell>
        </row>
        <row r="195">
          <cell r="C195" t="str">
            <v>STATEMENT OF INCOME</v>
          </cell>
          <cell r="J195" t="str">
            <v xml:space="preserve">BÁO CÁO KẾT QUẢ HOẠT ĐỘNG KINH DOANH </v>
          </cell>
          <cell r="R195" t="str">
            <v>STATEMENT OF INCOME</v>
          </cell>
          <cell r="Y195" t="str">
            <v xml:space="preserve">BÁO CÁO KẾT QUẢ HOẠT ĐỘNG KINH DOANH </v>
          </cell>
        </row>
        <row r="196">
          <cell r="C196" t="str">
            <v>STATEMENT OF INCOME</v>
          </cell>
          <cell r="J196" t="str">
            <v xml:space="preserve">BÁO CÁO KẾT QUẢ HOẠT ĐỘNG </v>
          </cell>
          <cell r="R196" t="str">
            <v>STATEMENT OF INCOME</v>
          </cell>
          <cell r="Y196" t="str">
            <v xml:space="preserve">BÁO CÁO KẾT QUẢ HOẠT ĐỘNG </v>
          </cell>
        </row>
        <row r="197">
          <cell r="C197" t="str">
            <v>for the year ended 31 December 2023</v>
          </cell>
          <cell r="J197" t="str">
            <v>cho năm kết thúc ngày 31 tháng 12 năm 2023</v>
          </cell>
          <cell r="R197" t="str">
            <v>for the year ended 31 December 2023</v>
          </cell>
          <cell r="Y197" t="str">
            <v>cho năm kết thúc ngày 31 tháng 12 năm 2023</v>
          </cell>
        </row>
        <row r="198">
          <cell r="C198" t="str">
            <v>Unit: VND</v>
          </cell>
          <cell r="J198" t="str">
            <v>Đơn vị: VND</v>
          </cell>
          <cell r="R198" t="str">
            <v>Unit: VND 1,000</v>
          </cell>
          <cell r="Y198" t="str">
            <v>Đơn vị: 1.000 VND</v>
          </cell>
        </row>
        <row r="199">
          <cell r="C199" t="str">
            <v>(The accompanying Notes are an integral part of these Financial Statements)</v>
          </cell>
          <cell r="J199" t="str">
            <v>(Các Thuyết minh đính kèm là một phần không thể tách rời của các Báo cáo Tài chính này)</v>
          </cell>
          <cell r="R199" t="str">
            <v>(The accompanying Notes are an integral part of these Financial Statements)</v>
          </cell>
          <cell r="Y199" t="str">
            <v>(Các Thuyết minh đính kèm là một phần không thể tách rời của các Báo cáo Tài chính này)</v>
          </cell>
        </row>
        <row r="200">
          <cell r="R200" t="str">
            <v/>
          </cell>
          <cell r="S200" t="str">
            <v/>
          </cell>
          <cell r="T200" t="str">
            <v/>
          </cell>
          <cell r="U200" t="str">
            <v/>
          </cell>
          <cell r="Y200" t="str">
            <v/>
          </cell>
          <cell r="Z200" t="str">
            <v/>
          </cell>
          <cell r="AA200" t="str">
            <v/>
          </cell>
          <cell r="AB200" t="str">
            <v/>
          </cell>
        </row>
        <row r="201">
          <cell r="C201" t="str">
            <v>Items</v>
          </cell>
          <cell r="E201" t="str">
            <v>Code</v>
          </cell>
          <cell r="F201" t="str">
            <v>Notes</v>
          </cell>
          <cell r="G201" t="str">
            <v>Current year</v>
          </cell>
          <cell r="H201" t="str">
            <v>Previous year</v>
          </cell>
          <cell r="J201" t="str">
            <v>Chỉ tiêu</v>
          </cell>
          <cell r="L201" t="str">
            <v>Mã số</v>
          </cell>
          <cell r="M201" t="str">
            <v>TM</v>
          </cell>
          <cell r="N201" t="str">
            <v>Năm nay</v>
          </cell>
          <cell r="O201" t="str">
            <v>Năm trước</v>
          </cell>
          <cell r="R201" t="str">
            <v>Items</v>
          </cell>
          <cell r="S201" t="str">
            <v/>
          </cell>
          <cell r="T201" t="str">
            <v>Code</v>
          </cell>
          <cell r="U201" t="str">
            <v>Notes</v>
          </cell>
          <cell r="V201" t="str">
            <v>Current year</v>
          </cell>
          <cell r="W201" t="str">
            <v>Previous year</v>
          </cell>
          <cell r="Y201" t="str">
            <v>Chỉ tiêu</v>
          </cell>
          <cell r="Z201" t="str">
            <v/>
          </cell>
          <cell r="AA201" t="str">
            <v>Mã số</v>
          </cell>
          <cell r="AB201" t="str">
            <v>TM</v>
          </cell>
          <cell r="AC201" t="str">
            <v>Năm nay</v>
          </cell>
          <cell r="AD201" t="str">
            <v>Năm trước</v>
          </cell>
        </row>
        <row r="202">
          <cell r="J202" t="str">
            <v/>
          </cell>
          <cell r="R202" t="str">
            <v/>
          </cell>
          <cell r="S202" t="str">
            <v/>
          </cell>
          <cell r="T202" t="str">
            <v/>
          </cell>
          <cell r="U202" t="str">
            <v/>
          </cell>
          <cell r="Y202" t="str">
            <v/>
          </cell>
          <cell r="Z202" t="str">
            <v/>
          </cell>
          <cell r="AA202" t="str">
            <v/>
          </cell>
          <cell r="AB202" t="str">
            <v/>
          </cell>
        </row>
        <row r="203">
          <cell r="D203" t="str">
            <v>▪ Revenue</v>
          </cell>
          <cell r="E203" t="str">
            <v>01</v>
          </cell>
          <cell r="F203">
            <v>20</v>
          </cell>
          <cell r="G203">
            <v>11320490154</v>
          </cell>
          <cell r="H203">
            <v>7803418411</v>
          </cell>
          <cell r="J203" t="str">
            <v/>
          </cell>
          <cell r="K203" t="str">
            <v>▪ Doanh thu</v>
          </cell>
          <cell r="L203" t="str">
            <v>01</v>
          </cell>
          <cell r="M203">
            <v>20</v>
          </cell>
          <cell r="N203">
            <v>11320490154</v>
          </cell>
          <cell r="O203">
            <v>7803418411</v>
          </cell>
          <cell r="R203" t="str">
            <v/>
          </cell>
          <cell r="S203" t="str">
            <v>▪ Revenue</v>
          </cell>
          <cell r="T203" t="str">
            <v>01</v>
          </cell>
          <cell r="U203">
            <v>20</v>
          </cell>
          <cell r="V203">
            <v>252899750040</v>
          </cell>
          <cell r="W203">
            <v>171066538406</v>
          </cell>
          <cell r="Y203" t="str">
            <v/>
          </cell>
          <cell r="Z203" t="str">
            <v>▪ Doanh thu</v>
          </cell>
          <cell r="AA203" t="str">
            <v>01</v>
          </cell>
          <cell r="AB203">
            <v>20</v>
          </cell>
          <cell r="AC203">
            <v>252899750040</v>
          </cell>
          <cell r="AD203">
            <v>171066538406</v>
          </cell>
        </row>
        <row r="204">
          <cell r="J204" t="str">
            <v/>
          </cell>
          <cell r="M204" t="str">
            <v/>
          </cell>
          <cell r="R204" t="str">
            <v/>
          </cell>
          <cell r="S204" t="str">
            <v/>
          </cell>
          <cell r="T204" t="str">
            <v/>
          </cell>
          <cell r="U204" t="str">
            <v/>
          </cell>
          <cell r="Y204" t="str">
            <v/>
          </cell>
          <cell r="Z204" t="str">
            <v/>
          </cell>
          <cell r="AA204" t="str">
            <v/>
          </cell>
          <cell r="AB204" t="str">
            <v/>
          </cell>
        </row>
        <row r="205">
          <cell r="D205" t="str">
            <v>▪ Deductions</v>
          </cell>
          <cell r="E205" t="str">
            <v>02</v>
          </cell>
          <cell r="F205" t="str">
            <v/>
          </cell>
          <cell r="G205">
            <v>0</v>
          </cell>
          <cell r="H205">
            <v>0</v>
          </cell>
          <cell r="J205" t="str">
            <v/>
          </cell>
          <cell r="K205" t="str">
            <v>▪ Các khoản giảm trừ doanh thu</v>
          </cell>
          <cell r="L205" t="str">
            <v>02</v>
          </cell>
          <cell r="M205" t="str">
            <v/>
          </cell>
          <cell r="N205">
            <v>0</v>
          </cell>
          <cell r="O205">
            <v>0</v>
          </cell>
          <cell r="R205" t="str">
            <v/>
          </cell>
          <cell r="S205" t="str">
            <v>▪ Deductions</v>
          </cell>
          <cell r="T205" t="str">
            <v>02</v>
          </cell>
          <cell r="U205" t="str">
            <v/>
          </cell>
          <cell r="V205">
            <v>0</v>
          </cell>
          <cell r="W205">
            <v>0</v>
          </cell>
          <cell r="Y205" t="str">
            <v/>
          </cell>
          <cell r="Z205" t="str">
            <v>▪ Các khoản giảm trừ doanh thu</v>
          </cell>
          <cell r="AA205" t="str">
            <v>02</v>
          </cell>
          <cell r="AB205" t="str">
            <v/>
          </cell>
          <cell r="AC205">
            <v>0</v>
          </cell>
          <cell r="AD205">
            <v>0</v>
          </cell>
        </row>
        <row r="206">
          <cell r="J206" t="str">
            <v/>
          </cell>
          <cell r="M206" t="str">
            <v/>
          </cell>
          <cell r="R206" t="str">
            <v/>
          </cell>
          <cell r="S206" t="str">
            <v/>
          </cell>
          <cell r="T206" t="str">
            <v/>
          </cell>
          <cell r="U206" t="str">
            <v/>
          </cell>
          <cell r="Y206" t="str">
            <v/>
          </cell>
          <cell r="Z206" t="str">
            <v/>
          </cell>
          <cell r="AA206" t="str">
            <v/>
          </cell>
          <cell r="AB206" t="str">
            <v/>
          </cell>
        </row>
        <row r="207">
          <cell r="D207" t="str">
            <v>▪ Net revenue</v>
          </cell>
          <cell r="E207">
            <v>10</v>
          </cell>
          <cell r="F207">
            <v>21</v>
          </cell>
          <cell r="G207">
            <v>11320490154</v>
          </cell>
          <cell r="H207">
            <v>7803418411</v>
          </cell>
          <cell r="J207" t="str">
            <v/>
          </cell>
          <cell r="K207" t="str">
            <v>▪ Doanh thu thuần</v>
          </cell>
          <cell r="L207">
            <v>10</v>
          </cell>
          <cell r="M207">
            <v>21</v>
          </cell>
          <cell r="N207">
            <v>11320490154</v>
          </cell>
          <cell r="O207">
            <v>7803418411</v>
          </cell>
          <cell r="R207" t="str">
            <v/>
          </cell>
          <cell r="S207" t="str">
            <v>▪ Net revenue</v>
          </cell>
          <cell r="T207">
            <v>10</v>
          </cell>
          <cell r="U207">
            <v>21</v>
          </cell>
          <cell r="V207">
            <v>252899750040</v>
          </cell>
          <cell r="W207">
            <v>171066538406</v>
          </cell>
          <cell r="Y207" t="str">
            <v/>
          </cell>
          <cell r="Z207" t="str">
            <v>▪ Doanh thu thuần</v>
          </cell>
          <cell r="AA207">
            <v>10</v>
          </cell>
          <cell r="AB207">
            <v>21</v>
          </cell>
          <cell r="AC207">
            <v>252899750040</v>
          </cell>
          <cell r="AD207">
            <v>171066538406</v>
          </cell>
        </row>
        <row r="208">
          <cell r="J208" t="str">
            <v/>
          </cell>
          <cell r="M208" t="str">
            <v/>
          </cell>
          <cell r="R208" t="str">
            <v/>
          </cell>
          <cell r="S208" t="str">
            <v/>
          </cell>
          <cell r="T208" t="str">
            <v/>
          </cell>
          <cell r="U208" t="str">
            <v/>
          </cell>
          <cell r="Y208" t="str">
            <v/>
          </cell>
          <cell r="Z208" t="str">
            <v/>
          </cell>
          <cell r="AA208" t="str">
            <v/>
          </cell>
          <cell r="AB208" t="str">
            <v/>
          </cell>
        </row>
        <row r="209">
          <cell r="D209" t="str">
            <v>▪ Cost of sales</v>
          </cell>
          <cell r="E209">
            <v>11</v>
          </cell>
          <cell r="F209">
            <v>22</v>
          </cell>
          <cell r="G209">
            <v>9418627544</v>
          </cell>
          <cell r="H209">
            <v>5387434959</v>
          </cell>
          <cell r="J209" t="str">
            <v/>
          </cell>
          <cell r="K209" t="str">
            <v>▪ Giá vốn</v>
          </cell>
          <cell r="L209">
            <v>11</v>
          </cell>
          <cell r="M209">
            <v>22</v>
          </cell>
          <cell r="N209">
            <v>9418627544</v>
          </cell>
          <cell r="O209">
            <v>5387434959</v>
          </cell>
          <cell r="R209" t="str">
            <v/>
          </cell>
          <cell r="S209" t="str">
            <v>▪ Cost of sales</v>
          </cell>
          <cell r="T209">
            <v>11</v>
          </cell>
          <cell r="U209">
            <v>22</v>
          </cell>
          <cell r="V209">
            <v>210412139333</v>
          </cell>
          <cell r="W209">
            <v>118103349171</v>
          </cell>
          <cell r="Y209" t="str">
            <v/>
          </cell>
          <cell r="Z209" t="str">
            <v>▪ Giá vốn</v>
          </cell>
          <cell r="AA209">
            <v>11</v>
          </cell>
          <cell r="AB209">
            <v>22</v>
          </cell>
          <cell r="AC209">
            <v>210412139333</v>
          </cell>
          <cell r="AD209">
            <v>118103349171</v>
          </cell>
        </row>
        <row r="210">
          <cell r="J210" t="str">
            <v/>
          </cell>
          <cell r="M210" t="str">
            <v/>
          </cell>
          <cell r="R210" t="str">
            <v/>
          </cell>
          <cell r="S210" t="str">
            <v/>
          </cell>
          <cell r="T210" t="str">
            <v/>
          </cell>
          <cell r="U210" t="str">
            <v/>
          </cell>
          <cell r="Y210" t="str">
            <v/>
          </cell>
          <cell r="Z210" t="str">
            <v/>
          </cell>
          <cell r="AA210" t="str">
            <v/>
          </cell>
          <cell r="AB210" t="str">
            <v/>
          </cell>
        </row>
        <row r="211">
          <cell r="D211" t="str">
            <v>▪ Gross profit</v>
          </cell>
          <cell r="E211">
            <v>20</v>
          </cell>
          <cell r="G211">
            <v>1901862610</v>
          </cell>
          <cell r="H211">
            <v>2415983452</v>
          </cell>
          <cell r="J211" t="str">
            <v/>
          </cell>
          <cell r="K211" t="str">
            <v>▪ Lợi nhuận gộp</v>
          </cell>
          <cell r="L211">
            <v>20</v>
          </cell>
          <cell r="M211" t="str">
            <v/>
          </cell>
          <cell r="N211">
            <v>1901862610</v>
          </cell>
          <cell r="O211">
            <v>2415983452</v>
          </cell>
          <cell r="R211" t="str">
            <v/>
          </cell>
          <cell r="S211" t="str">
            <v>▪ Gross profit</v>
          </cell>
          <cell r="T211">
            <v>20</v>
          </cell>
          <cell r="U211" t="str">
            <v/>
          </cell>
          <cell r="V211">
            <v>42487610707</v>
          </cell>
          <cell r="W211">
            <v>52963189235</v>
          </cell>
          <cell r="Y211" t="str">
            <v/>
          </cell>
          <cell r="Z211" t="str">
            <v>▪ Lợi nhuận gộp</v>
          </cell>
          <cell r="AA211">
            <v>20</v>
          </cell>
          <cell r="AB211" t="str">
            <v/>
          </cell>
          <cell r="AC211">
            <v>42487610707</v>
          </cell>
          <cell r="AD211">
            <v>52963189235</v>
          </cell>
        </row>
        <row r="212">
          <cell r="J212" t="str">
            <v/>
          </cell>
          <cell r="M212" t="str">
            <v/>
          </cell>
          <cell r="R212" t="str">
            <v/>
          </cell>
          <cell r="S212" t="str">
            <v/>
          </cell>
          <cell r="T212" t="str">
            <v/>
          </cell>
          <cell r="U212" t="str">
            <v/>
          </cell>
          <cell r="Y212" t="str">
            <v/>
          </cell>
          <cell r="Z212" t="str">
            <v/>
          </cell>
          <cell r="AA212" t="str">
            <v/>
          </cell>
          <cell r="AB212" t="str">
            <v/>
          </cell>
        </row>
        <row r="213">
          <cell r="D213" t="str">
            <v>▪ Financial incomes</v>
          </cell>
          <cell r="E213">
            <v>21</v>
          </cell>
          <cell r="F213">
            <v>23</v>
          </cell>
          <cell r="G213">
            <v>243386693</v>
          </cell>
          <cell r="H213">
            <v>155096781</v>
          </cell>
          <cell r="J213" t="str">
            <v/>
          </cell>
          <cell r="K213" t="str">
            <v>▪ Doanh thu hoạt động tài chính</v>
          </cell>
          <cell r="L213">
            <v>21</v>
          </cell>
          <cell r="M213">
            <v>23</v>
          </cell>
          <cell r="N213">
            <v>243386693</v>
          </cell>
          <cell r="O213">
            <v>155096781</v>
          </cell>
          <cell r="R213" t="str">
            <v/>
          </cell>
          <cell r="S213" t="str">
            <v>▪ Financial incomes</v>
          </cell>
          <cell r="T213">
            <v>21</v>
          </cell>
          <cell r="U213">
            <v>23</v>
          </cell>
          <cell r="V213">
            <v>5437258722</v>
          </cell>
          <cell r="W213">
            <v>3400031633</v>
          </cell>
          <cell r="Y213" t="str">
            <v/>
          </cell>
          <cell r="Z213" t="str">
            <v>▪ Doanh thu hoạt động tài chính</v>
          </cell>
          <cell r="AA213">
            <v>21</v>
          </cell>
          <cell r="AB213">
            <v>23</v>
          </cell>
          <cell r="AC213">
            <v>5437258722</v>
          </cell>
          <cell r="AD213">
            <v>3400031633</v>
          </cell>
        </row>
        <row r="214">
          <cell r="J214" t="str">
            <v/>
          </cell>
          <cell r="M214" t="str">
            <v/>
          </cell>
          <cell r="R214" t="str">
            <v/>
          </cell>
          <cell r="S214" t="str">
            <v/>
          </cell>
          <cell r="T214" t="str">
            <v/>
          </cell>
          <cell r="U214" t="str">
            <v/>
          </cell>
          <cell r="Y214" t="str">
            <v/>
          </cell>
          <cell r="Z214" t="str">
            <v/>
          </cell>
          <cell r="AA214" t="str">
            <v/>
          </cell>
          <cell r="AB214" t="str">
            <v/>
          </cell>
        </row>
        <row r="215">
          <cell r="D215" t="str">
            <v>▪ Financial expenses</v>
          </cell>
          <cell r="E215">
            <v>22</v>
          </cell>
          <cell r="F215">
            <v>24</v>
          </cell>
          <cell r="G215">
            <v>62044912</v>
          </cell>
          <cell r="H215">
            <v>30855626</v>
          </cell>
          <cell r="J215" t="str">
            <v/>
          </cell>
          <cell r="K215" t="str">
            <v>▪ Chi phí tài chính</v>
          </cell>
          <cell r="L215">
            <v>22</v>
          </cell>
          <cell r="M215">
            <v>24</v>
          </cell>
          <cell r="N215">
            <v>62044912</v>
          </cell>
          <cell r="O215">
            <v>30855626</v>
          </cell>
          <cell r="R215" t="str">
            <v/>
          </cell>
          <cell r="S215" t="str">
            <v>▪ Financial expenses</v>
          </cell>
          <cell r="T215">
            <v>22</v>
          </cell>
          <cell r="U215">
            <v>24</v>
          </cell>
          <cell r="V215">
            <v>1386083334</v>
          </cell>
          <cell r="W215">
            <v>676417033</v>
          </cell>
          <cell r="Y215" t="str">
            <v/>
          </cell>
          <cell r="Z215" t="str">
            <v>▪ Chi phí tài chính</v>
          </cell>
          <cell r="AA215">
            <v>22</v>
          </cell>
          <cell r="AB215">
            <v>24</v>
          </cell>
          <cell r="AC215">
            <v>1386083334</v>
          </cell>
          <cell r="AD215">
            <v>676417033</v>
          </cell>
        </row>
        <row r="216">
          <cell r="J216" t="str">
            <v/>
          </cell>
          <cell r="M216" t="str">
            <v/>
          </cell>
          <cell r="R216" t="str">
            <v/>
          </cell>
          <cell r="S216" t="str">
            <v/>
          </cell>
          <cell r="T216" t="str">
            <v/>
          </cell>
          <cell r="U216" t="str">
            <v/>
          </cell>
          <cell r="Y216" t="str">
            <v/>
          </cell>
          <cell r="Z216" t="str">
            <v/>
          </cell>
          <cell r="AA216" t="str">
            <v/>
          </cell>
          <cell r="AB216" t="str">
            <v/>
          </cell>
        </row>
        <row r="217">
          <cell r="D217" t="str">
            <v xml:space="preserve">   In which: Interest expenses</v>
          </cell>
          <cell r="E217">
            <v>23</v>
          </cell>
          <cell r="G217">
            <v>0</v>
          </cell>
          <cell r="H217">
            <v>0</v>
          </cell>
          <cell r="K217" t="str">
            <v xml:space="preserve">   Trong đó: chi phí lãi vay</v>
          </cell>
          <cell r="L217">
            <v>23</v>
          </cell>
          <cell r="N217">
            <v>0</v>
          </cell>
          <cell r="O217">
            <v>0</v>
          </cell>
          <cell r="S217" t="str">
            <v xml:space="preserve">   In which: Interest expenses</v>
          </cell>
          <cell r="T217">
            <v>23</v>
          </cell>
          <cell r="V217">
            <v>0</v>
          </cell>
          <cell r="W217">
            <v>0</v>
          </cell>
          <cell r="Z217" t="str">
            <v xml:space="preserve">   Trong đó: chi phí lãi vay</v>
          </cell>
          <cell r="AA217">
            <v>23</v>
          </cell>
          <cell r="AC217">
            <v>0</v>
          </cell>
          <cell r="AD217">
            <v>0</v>
          </cell>
        </row>
        <row r="218">
          <cell r="J218" t="str">
            <v/>
          </cell>
          <cell r="M218" t="str">
            <v/>
          </cell>
          <cell r="R218" t="str">
            <v/>
          </cell>
          <cell r="S218" t="str">
            <v/>
          </cell>
          <cell r="T218" t="str">
            <v/>
          </cell>
          <cell r="U218" t="str">
            <v/>
          </cell>
          <cell r="Y218" t="str">
            <v/>
          </cell>
          <cell r="Z218" t="str">
            <v/>
          </cell>
          <cell r="AA218" t="str">
            <v/>
          </cell>
          <cell r="AB218" t="str">
            <v/>
          </cell>
        </row>
        <row r="219">
          <cell r="D219" t="str">
            <v>▪ Selling expenses</v>
          </cell>
          <cell r="E219">
            <v>25</v>
          </cell>
          <cell r="F219">
            <v>25</v>
          </cell>
          <cell r="G219">
            <v>1923549624</v>
          </cell>
          <cell r="H219">
            <v>1661577807</v>
          </cell>
          <cell r="J219" t="str">
            <v/>
          </cell>
          <cell r="K219" t="str">
            <v>▪ Chi phí bán hàng</v>
          </cell>
          <cell r="L219">
            <v>25</v>
          </cell>
          <cell r="M219">
            <v>25</v>
          </cell>
          <cell r="N219">
            <v>1923549624</v>
          </cell>
          <cell r="O219">
            <v>1661577807</v>
          </cell>
          <cell r="R219" t="str">
            <v/>
          </cell>
          <cell r="S219" t="str">
            <v>▪ Selling expenses</v>
          </cell>
          <cell r="T219">
            <v>25</v>
          </cell>
          <cell r="U219">
            <v>25</v>
          </cell>
          <cell r="V219">
            <v>42972098600</v>
          </cell>
          <cell r="W219">
            <v>36425108685</v>
          </cell>
          <cell r="Y219" t="str">
            <v/>
          </cell>
          <cell r="Z219" t="str">
            <v>▪ Chi phí bán hàng</v>
          </cell>
          <cell r="AA219">
            <v>25</v>
          </cell>
          <cell r="AB219">
            <v>25</v>
          </cell>
          <cell r="AC219">
            <v>42972098600</v>
          </cell>
          <cell r="AD219">
            <v>36425108685</v>
          </cell>
        </row>
        <row r="220">
          <cell r="J220" t="str">
            <v/>
          </cell>
          <cell r="M220" t="str">
            <v/>
          </cell>
          <cell r="R220" t="str">
            <v/>
          </cell>
          <cell r="S220" t="str">
            <v/>
          </cell>
          <cell r="T220" t="str">
            <v/>
          </cell>
          <cell r="U220" t="str">
            <v/>
          </cell>
          <cell r="Y220" t="str">
            <v/>
          </cell>
          <cell r="Z220" t="str">
            <v/>
          </cell>
          <cell r="AA220" t="str">
            <v/>
          </cell>
          <cell r="AB220" t="str">
            <v/>
          </cell>
        </row>
        <row r="221">
          <cell r="D221" t="str">
            <v>▪ General &amp; administrative expenses</v>
          </cell>
          <cell r="E221">
            <v>26</v>
          </cell>
          <cell r="F221">
            <v>26</v>
          </cell>
          <cell r="G221">
            <v>1055067757</v>
          </cell>
          <cell r="H221">
            <v>696746922</v>
          </cell>
          <cell r="J221" t="str">
            <v/>
          </cell>
          <cell r="K221" t="str">
            <v>▪ Chi phí quản lý doanh nghiệp</v>
          </cell>
          <cell r="L221">
            <v>26</v>
          </cell>
          <cell r="M221">
            <v>26</v>
          </cell>
          <cell r="N221">
            <v>1055067757</v>
          </cell>
          <cell r="O221">
            <v>696746922</v>
          </cell>
          <cell r="R221" t="str">
            <v/>
          </cell>
          <cell r="S221" t="str">
            <v>▪ General &amp; administrative expenses</v>
          </cell>
          <cell r="T221">
            <v>26</v>
          </cell>
          <cell r="U221">
            <v>26</v>
          </cell>
          <cell r="V221">
            <v>23570213691</v>
          </cell>
          <cell r="W221">
            <v>15274086024</v>
          </cell>
          <cell r="Y221" t="str">
            <v/>
          </cell>
          <cell r="Z221" t="str">
            <v>▪ Chi phí quản lý doanh nghiệp</v>
          </cell>
          <cell r="AA221">
            <v>26</v>
          </cell>
          <cell r="AB221">
            <v>26</v>
          </cell>
          <cell r="AC221">
            <v>23570213691</v>
          </cell>
          <cell r="AD221">
            <v>15274086024</v>
          </cell>
        </row>
        <row r="222">
          <cell r="J222" t="str">
            <v/>
          </cell>
          <cell r="M222" t="str">
            <v/>
          </cell>
          <cell r="R222" t="str">
            <v/>
          </cell>
          <cell r="S222" t="str">
            <v/>
          </cell>
          <cell r="T222" t="str">
            <v/>
          </cell>
          <cell r="U222" t="str">
            <v/>
          </cell>
          <cell r="Y222" t="str">
            <v/>
          </cell>
          <cell r="Z222" t="str">
            <v/>
          </cell>
          <cell r="AA222" t="str">
            <v/>
          </cell>
          <cell r="AB222" t="str">
            <v/>
          </cell>
        </row>
        <row r="223">
          <cell r="D223" t="str">
            <v>▪ Net operating (loss)/profit</v>
          </cell>
          <cell r="E223">
            <v>30</v>
          </cell>
          <cell r="G223">
            <v>-895412990</v>
          </cell>
          <cell r="H223">
            <v>181899878</v>
          </cell>
          <cell r="J223" t="str">
            <v/>
          </cell>
          <cell r="K223" t="str">
            <v>▪ (Lỗ)/lợi nhuận thuần</v>
          </cell>
          <cell r="L223">
            <v>30</v>
          </cell>
          <cell r="M223" t="str">
            <v/>
          </cell>
          <cell r="N223">
            <v>-895412990</v>
          </cell>
          <cell r="O223">
            <v>181899878</v>
          </cell>
          <cell r="R223" t="str">
            <v/>
          </cell>
          <cell r="S223" t="str">
            <v>▪ Net operating (loss)/profit</v>
          </cell>
          <cell r="T223">
            <v>30</v>
          </cell>
          <cell r="U223" t="str">
            <v/>
          </cell>
          <cell r="V223">
            <v>-20003526196</v>
          </cell>
          <cell r="W223">
            <v>3987609126</v>
          </cell>
          <cell r="Y223" t="str">
            <v/>
          </cell>
          <cell r="Z223" t="str">
            <v>▪ (Lỗ)/lợi nhuận thuần</v>
          </cell>
          <cell r="AA223">
            <v>30</v>
          </cell>
          <cell r="AB223" t="str">
            <v/>
          </cell>
          <cell r="AC223">
            <v>-20003526196</v>
          </cell>
          <cell r="AD223">
            <v>3987609126</v>
          </cell>
        </row>
        <row r="224">
          <cell r="J224" t="str">
            <v/>
          </cell>
          <cell r="M224" t="str">
            <v/>
          </cell>
          <cell r="R224" t="str">
            <v/>
          </cell>
          <cell r="S224" t="str">
            <v/>
          </cell>
          <cell r="T224" t="str">
            <v/>
          </cell>
          <cell r="U224" t="str">
            <v/>
          </cell>
          <cell r="Y224" t="str">
            <v/>
          </cell>
          <cell r="Z224" t="str">
            <v/>
          </cell>
          <cell r="AA224" t="str">
            <v/>
          </cell>
          <cell r="AB224" t="str">
            <v/>
          </cell>
        </row>
        <row r="225">
          <cell r="D225" t="str">
            <v>▪ Other incomes</v>
          </cell>
          <cell r="E225">
            <v>31</v>
          </cell>
          <cell r="F225">
            <v>27</v>
          </cell>
          <cell r="G225">
            <v>20915431</v>
          </cell>
          <cell r="H225">
            <v>4084968</v>
          </cell>
          <cell r="J225" t="str">
            <v/>
          </cell>
          <cell r="K225" t="str">
            <v>▪ Thu nhập khác</v>
          </cell>
          <cell r="L225">
            <v>31</v>
          </cell>
          <cell r="M225">
            <v>27</v>
          </cell>
          <cell r="N225">
            <v>20915431</v>
          </cell>
          <cell r="O225">
            <v>4084968</v>
          </cell>
          <cell r="R225" t="str">
            <v/>
          </cell>
          <cell r="S225" t="str">
            <v>▪ Other incomes</v>
          </cell>
          <cell r="T225">
            <v>31</v>
          </cell>
          <cell r="U225">
            <v>27</v>
          </cell>
          <cell r="V225">
            <v>467250729</v>
          </cell>
          <cell r="W225">
            <v>89550668</v>
          </cell>
          <cell r="Y225" t="str">
            <v/>
          </cell>
          <cell r="Z225" t="str">
            <v>▪ Thu nhập khác</v>
          </cell>
          <cell r="AA225">
            <v>31</v>
          </cell>
          <cell r="AB225">
            <v>27</v>
          </cell>
          <cell r="AC225">
            <v>467250729</v>
          </cell>
          <cell r="AD225">
            <v>89550668</v>
          </cell>
        </row>
        <row r="226">
          <cell r="J226" t="str">
            <v/>
          </cell>
          <cell r="M226" t="str">
            <v/>
          </cell>
          <cell r="R226" t="str">
            <v/>
          </cell>
          <cell r="S226" t="str">
            <v/>
          </cell>
          <cell r="T226" t="str">
            <v/>
          </cell>
          <cell r="U226" t="str">
            <v/>
          </cell>
          <cell r="Y226" t="str">
            <v/>
          </cell>
          <cell r="Z226" t="str">
            <v/>
          </cell>
          <cell r="AA226" t="str">
            <v/>
          </cell>
          <cell r="AB226" t="str">
            <v/>
          </cell>
        </row>
        <row r="227">
          <cell r="D227" t="str">
            <v>▪ Other expenses</v>
          </cell>
          <cell r="E227">
            <v>32</v>
          </cell>
          <cell r="F227">
            <v>28</v>
          </cell>
          <cell r="G227">
            <v>46872777</v>
          </cell>
          <cell r="H227">
            <v>71784000</v>
          </cell>
          <cell r="J227" t="str">
            <v/>
          </cell>
          <cell r="K227" t="str">
            <v>▪ Chi phí khác</v>
          </cell>
          <cell r="L227">
            <v>32</v>
          </cell>
          <cell r="M227">
            <v>28</v>
          </cell>
          <cell r="N227">
            <v>46872777</v>
          </cell>
          <cell r="O227">
            <v>71784000</v>
          </cell>
          <cell r="R227" t="str">
            <v/>
          </cell>
          <cell r="S227" t="str">
            <v>▪ Other expenses</v>
          </cell>
          <cell r="T227">
            <v>32</v>
          </cell>
          <cell r="U227">
            <v>28</v>
          </cell>
          <cell r="V227">
            <v>1047137838</v>
          </cell>
          <cell r="W227">
            <v>1573648848</v>
          </cell>
          <cell r="Y227" t="str">
            <v/>
          </cell>
          <cell r="Z227" t="str">
            <v>▪ Chi phí khác</v>
          </cell>
          <cell r="AA227">
            <v>32</v>
          </cell>
          <cell r="AB227">
            <v>28</v>
          </cell>
          <cell r="AC227">
            <v>1047137838</v>
          </cell>
          <cell r="AD227">
            <v>1573648848</v>
          </cell>
        </row>
        <row r="228">
          <cell r="J228" t="str">
            <v/>
          </cell>
          <cell r="M228" t="str">
            <v/>
          </cell>
          <cell r="R228" t="str">
            <v/>
          </cell>
          <cell r="S228" t="str">
            <v/>
          </cell>
          <cell r="T228" t="str">
            <v/>
          </cell>
          <cell r="U228" t="str">
            <v/>
          </cell>
          <cell r="Y228" t="str">
            <v/>
          </cell>
          <cell r="Z228" t="str">
            <v/>
          </cell>
          <cell r="AA228" t="str">
            <v/>
          </cell>
          <cell r="AB228" t="str">
            <v/>
          </cell>
        </row>
        <row r="229">
          <cell r="D229" t="str">
            <v>▪ Other loss</v>
          </cell>
          <cell r="E229">
            <v>40</v>
          </cell>
          <cell r="G229">
            <v>-25957346</v>
          </cell>
          <cell r="H229">
            <v>-67699032</v>
          </cell>
          <cell r="J229" t="str">
            <v/>
          </cell>
          <cell r="K229" t="str">
            <v>▪ Lỗ khác</v>
          </cell>
          <cell r="L229">
            <v>40</v>
          </cell>
          <cell r="M229" t="str">
            <v/>
          </cell>
          <cell r="N229">
            <v>-25957346</v>
          </cell>
          <cell r="O229">
            <v>-67699032</v>
          </cell>
          <cell r="R229" t="str">
            <v/>
          </cell>
          <cell r="S229" t="str">
            <v>▪ Other loss</v>
          </cell>
          <cell r="T229">
            <v>40</v>
          </cell>
          <cell r="U229" t="str">
            <v/>
          </cell>
          <cell r="V229">
            <v>-579887109</v>
          </cell>
          <cell r="W229">
            <v>-1484098180</v>
          </cell>
          <cell r="Y229" t="str">
            <v/>
          </cell>
          <cell r="Z229" t="str">
            <v>▪ Lỗ khác</v>
          </cell>
          <cell r="AA229">
            <v>40</v>
          </cell>
          <cell r="AB229" t="str">
            <v/>
          </cell>
          <cell r="AC229">
            <v>-579887109</v>
          </cell>
          <cell r="AD229">
            <v>-1484098180</v>
          </cell>
        </row>
        <row r="230">
          <cell r="J230" t="str">
            <v/>
          </cell>
          <cell r="M230" t="str">
            <v/>
          </cell>
          <cell r="R230" t="str">
            <v/>
          </cell>
          <cell r="S230" t="str">
            <v/>
          </cell>
          <cell r="T230" t="str">
            <v/>
          </cell>
          <cell r="U230" t="str">
            <v/>
          </cell>
          <cell r="Y230" t="str">
            <v/>
          </cell>
          <cell r="Z230" t="str">
            <v/>
          </cell>
          <cell r="AA230" t="str">
            <v/>
          </cell>
          <cell r="AB230" t="str">
            <v/>
          </cell>
        </row>
        <row r="231">
          <cell r="D231" t="str">
            <v>▪ Net (loss)/profit before tax</v>
          </cell>
          <cell r="E231">
            <v>50</v>
          </cell>
          <cell r="G231">
            <v>-921370336</v>
          </cell>
          <cell r="H231">
            <v>114200846</v>
          </cell>
          <cell r="J231" t="str">
            <v/>
          </cell>
          <cell r="K231" t="str">
            <v>▪ (Lỗ)/lợi nhuận thuần trước thuế</v>
          </cell>
          <cell r="L231">
            <v>50</v>
          </cell>
          <cell r="M231" t="str">
            <v/>
          </cell>
          <cell r="N231">
            <v>-921370336</v>
          </cell>
          <cell r="O231">
            <v>114200846</v>
          </cell>
          <cell r="R231" t="str">
            <v/>
          </cell>
          <cell r="S231" t="str">
            <v>▪ Net (loss)/profit before tax</v>
          </cell>
          <cell r="T231">
            <v>50</v>
          </cell>
          <cell r="U231" t="str">
            <v/>
          </cell>
          <cell r="V231">
            <v>-20583413305</v>
          </cell>
          <cell r="W231">
            <v>2503510946</v>
          </cell>
          <cell r="Y231" t="str">
            <v/>
          </cell>
          <cell r="Z231" t="str">
            <v>▪ (Lỗ)/lợi nhuận thuần trước thuế</v>
          </cell>
          <cell r="AA231">
            <v>50</v>
          </cell>
          <cell r="AB231" t="str">
            <v/>
          </cell>
          <cell r="AC231">
            <v>-20583413305</v>
          </cell>
          <cell r="AD231">
            <v>2503510946</v>
          </cell>
        </row>
        <row r="232">
          <cell r="J232" t="str">
            <v/>
          </cell>
          <cell r="M232" t="str">
            <v/>
          </cell>
          <cell r="R232" t="str">
            <v/>
          </cell>
          <cell r="S232" t="str">
            <v/>
          </cell>
          <cell r="T232" t="str">
            <v/>
          </cell>
          <cell r="U232" t="str">
            <v/>
          </cell>
          <cell r="Y232" t="str">
            <v/>
          </cell>
          <cell r="Z232" t="str">
            <v/>
          </cell>
          <cell r="AA232" t="str">
            <v/>
          </cell>
          <cell r="AB232" t="str">
            <v/>
          </cell>
        </row>
        <row r="233">
          <cell r="D233" t="str">
            <v>▪ Current CIT expenses</v>
          </cell>
          <cell r="E233">
            <v>51</v>
          </cell>
          <cell r="F233">
            <v>30</v>
          </cell>
          <cell r="G233">
            <v>0</v>
          </cell>
          <cell r="H233">
            <v>0</v>
          </cell>
          <cell r="J233" t="str">
            <v/>
          </cell>
          <cell r="K233" t="str">
            <v>▪ Chi phí thuế TNDN hiện hành</v>
          </cell>
          <cell r="L233">
            <v>51</v>
          </cell>
          <cell r="M233">
            <v>30</v>
          </cell>
          <cell r="N233">
            <v>0</v>
          </cell>
          <cell r="O233">
            <v>0</v>
          </cell>
          <cell r="R233" t="str">
            <v/>
          </cell>
          <cell r="S233" t="str">
            <v>▪ Current CIT expenses</v>
          </cell>
          <cell r="T233">
            <v>51</v>
          </cell>
          <cell r="U233">
            <v>30</v>
          </cell>
          <cell r="V233">
            <v>0</v>
          </cell>
          <cell r="W233">
            <v>0</v>
          </cell>
          <cell r="Y233" t="str">
            <v/>
          </cell>
          <cell r="Z233" t="str">
            <v>▪ Chi phí thuế TNDN hiện hành</v>
          </cell>
          <cell r="AA233">
            <v>51</v>
          </cell>
          <cell r="AB233">
            <v>30</v>
          </cell>
          <cell r="AC233">
            <v>0</v>
          </cell>
          <cell r="AD233">
            <v>0</v>
          </cell>
        </row>
        <row r="234">
          <cell r="J234" t="str">
            <v/>
          </cell>
          <cell r="M234" t="str">
            <v/>
          </cell>
          <cell r="R234" t="str">
            <v/>
          </cell>
          <cell r="S234" t="str">
            <v/>
          </cell>
          <cell r="T234" t="str">
            <v/>
          </cell>
          <cell r="U234" t="str">
            <v/>
          </cell>
          <cell r="Y234" t="str">
            <v/>
          </cell>
          <cell r="Z234" t="str">
            <v/>
          </cell>
          <cell r="AA234" t="str">
            <v/>
          </cell>
          <cell r="AB234" t="str">
            <v/>
          </cell>
        </row>
        <row r="235">
          <cell r="D235" t="str">
            <v>▪ Deferred CIT (incomes)/expenses</v>
          </cell>
          <cell r="E235">
            <v>52</v>
          </cell>
          <cell r="F235">
            <v>31</v>
          </cell>
          <cell r="G235">
            <v>0</v>
          </cell>
          <cell r="H235">
            <v>0</v>
          </cell>
          <cell r="J235" t="str">
            <v/>
          </cell>
          <cell r="K235" t="str">
            <v>▪ (Thu nhập)/chi phí thuế TNDN hoãn lại</v>
          </cell>
          <cell r="L235">
            <v>52</v>
          </cell>
          <cell r="M235">
            <v>31</v>
          </cell>
          <cell r="N235">
            <v>0</v>
          </cell>
          <cell r="O235">
            <v>0</v>
          </cell>
          <cell r="R235" t="str">
            <v/>
          </cell>
          <cell r="S235" t="str">
            <v>▪ Deferred CIT (incomes)/expenses</v>
          </cell>
          <cell r="T235">
            <v>52</v>
          </cell>
          <cell r="U235">
            <v>31</v>
          </cell>
          <cell r="V235">
            <v>0</v>
          </cell>
          <cell r="W235">
            <v>0</v>
          </cell>
          <cell r="Y235" t="str">
            <v/>
          </cell>
          <cell r="Z235" t="str">
            <v>▪ (Thu nhập)/chi phí thuế TNDN hoãn lại</v>
          </cell>
          <cell r="AA235">
            <v>52</v>
          </cell>
          <cell r="AB235">
            <v>31</v>
          </cell>
          <cell r="AC235">
            <v>0</v>
          </cell>
          <cell r="AD235">
            <v>0</v>
          </cell>
        </row>
        <row r="236">
          <cell r="M236" t="str">
            <v/>
          </cell>
          <cell r="R236" t="str">
            <v/>
          </cell>
          <cell r="S236" t="str">
            <v/>
          </cell>
          <cell r="T236" t="str">
            <v/>
          </cell>
          <cell r="U236" t="str">
            <v/>
          </cell>
          <cell r="Y236" t="str">
            <v/>
          </cell>
          <cell r="Z236" t="str">
            <v/>
          </cell>
          <cell r="AA236" t="str">
            <v/>
          </cell>
          <cell r="AB236" t="str">
            <v/>
          </cell>
        </row>
        <row r="237">
          <cell r="D237" t="str">
            <v>▪ Net (loss)/profit after tax</v>
          </cell>
          <cell r="E237">
            <v>60</v>
          </cell>
          <cell r="G237">
            <v>-921370336</v>
          </cell>
          <cell r="H237">
            <v>114200846</v>
          </cell>
          <cell r="J237" t="str">
            <v/>
          </cell>
          <cell r="K237" t="str">
            <v>▪ (Lỗ)/lợi nhuận sau thuế</v>
          </cell>
          <cell r="L237">
            <v>60</v>
          </cell>
          <cell r="M237" t="str">
            <v/>
          </cell>
          <cell r="N237">
            <v>-921370336</v>
          </cell>
          <cell r="O237">
            <v>114200846</v>
          </cell>
          <cell r="R237" t="str">
            <v/>
          </cell>
          <cell r="S237" t="str">
            <v>▪ Net (loss)/profit after tax</v>
          </cell>
          <cell r="T237">
            <v>60</v>
          </cell>
          <cell r="U237" t="str">
            <v/>
          </cell>
          <cell r="V237">
            <v>-20583413305</v>
          </cell>
          <cell r="W237">
            <v>2503510946</v>
          </cell>
          <cell r="Y237" t="str">
            <v/>
          </cell>
          <cell r="Z237" t="str">
            <v>▪ (Lỗ)/lợi nhuận sau thuế</v>
          </cell>
          <cell r="AA237">
            <v>60</v>
          </cell>
          <cell r="AB237" t="str">
            <v/>
          </cell>
          <cell r="AC237">
            <v>-20583413305</v>
          </cell>
          <cell r="AD237">
            <v>2503510946</v>
          </cell>
        </row>
        <row r="238">
          <cell r="J238" t="str">
            <v/>
          </cell>
          <cell r="M238" t="str">
            <v/>
          </cell>
          <cell r="R238" t="str">
            <v/>
          </cell>
          <cell r="S238" t="str">
            <v/>
          </cell>
          <cell r="T238" t="str">
            <v/>
          </cell>
          <cell r="U238" t="str">
            <v/>
          </cell>
          <cell r="Y238" t="str">
            <v/>
          </cell>
          <cell r="Z238" t="str">
            <v/>
          </cell>
          <cell r="AA238" t="str">
            <v/>
          </cell>
          <cell r="AB238" t="str">
            <v/>
          </cell>
        </row>
        <row r="239">
          <cell r="D239" t="str">
            <v>▪ Net profit/(loss) of shareholders 
   of the parent company</v>
          </cell>
          <cell r="E239">
            <v>61</v>
          </cell>
          <cell r="G239">
            <v>0</v>
          </cell>
          <cell r="H239">
            <v>0</v>
          </cell>
          <cell r="J239" t="str">
            <v/>
          </cell>
          <cell r="K239" t="str">
            <v>▪ Lợi nhuận sau thuế của cổ đông của
   công ty mẹ</v>
          </cell>
          <cell r="L239">
            <v>61</v>
          </cell>
          <cell r="M239" t="str">
            <v/>
          </cell>
          <cell r="N239">
            <v>0</v>
          </cell>
          <cell r="O239">
            <v>0</v>
          </cell>
          <cell r="R239" t="str">
            <v/>
          </cell>
          <cell r="S239" t="str">
            <v>▪ Net profit/(loss) of shareholders 
   of the parent company</v>
          </cell>
          <cell r="T239">
            <v>61</v>
          </cell>
          <cell r="U239" t="str">
            <v/>
          </cell>
          <cell r="V239">
            <v>0</v>
          </cell>
          <cell r="W239">
            <v>0</v>
          </cell>
          <cell r="Y239" t="str">
            <v/>
          </cell>
          <cell r="Z239" t="str">
            <v>▪ Lợi nhuận sau thuế của cổ đông của
   công ty mẹ</v>
          </cell>
          <cell r="AA239">
            <v>61</v>
          </cell>
          <cell r="AB239" t="str">
            <v/>
          </cell>
          <cell r="AC239">
            <v>0</v>
          </cell>
          <cell r="AD239">
            <v>0</v>
          </cell>
        </row>
        <row r="240">
          <cell r="J240" t="str">
            <v/>
          </cell>
          <cell r="M240" t="str">
            <v/>
          </cell>
          <cell r="R240" t="str">
            <v/>
          </cell>
          <cell r="S240" t="str">
            <v/>
          </cell>
          <cell r="T240" t="str">
            <v/>
          </cell>
          <cell r="U240" t="str">
            <v/>
          </cell>
          <cell r="Y240" t="str">
            <v/>
          </cell>
          <cell r="Z240" t="str">
            <v/>
          </cell>
          <cell r="AA240" t="str">
            <v/>
          </cell>
          <cell r="AB240" t="str">
            <v/>
          </cell>
        </row>
        <row r="241">
          <cell r="D241" t="str">
            <v>▪ Net profit/(loss) of non-controlling
   interests</v>
          </cell>
          <cell r="E241">
            <v>62</v>
          </cell>
          <cell r="G241">
            <v>0</v>
          </cell>
          <cell r="H241">
            <v>0</v>
          </cell>
          <cell r="J241" t="str">
            <v/>
          </cell>
          <cell r="K241" t="str">
            <v>▪ Lợi nhuận sau thuế của cổ đông
   không kiểm soát</v>
          </cell>
          <cell r="L241">
            <v>62</v>
          </cell>
          <cell r="M241" t="str">
            <v/>
          </cell>
          <cell r="N241">
            <v>0</v>
          </cell>
          <cell r="O241">
            <v>0</v>
          </cell>
          <cell r="R241" t="str">
            <v/>
          </cell>
          <cell r="S241" t="str">
            <v>▪ Net profit/(loss) of non-controlling
   interests</v>
          </cell>
          <cell r="T241">
            <v>62</v>
          </cell>
          <cell r="U241" t="str">
            <v/>
          </cell>
          <cell r="V241">
            <v>0</v>
          </cell>
          <cell r="W241">
            <v>0</v>
          </cell>
          <cell r="Y241" t="str">
            <v/>
          </cell>
          <cell r="Z241" t="str">
            <v>▪ Lợi nhuận sau thuế của cổ đông
   không kiểm soát</v>
          </cell>
          <cell r="AA241">
            <v>62</v>
          </cell>
          <cell r="AB241" t="str">
            <v/>
          </cell>
          <cell r="AC241">
            <v>0</v>
          </cell>
          <cell r="AD241">
            <v>0</v>
          </cell>
        </row>
        <row r="243">
          <cell r="D243" t="str">
            <v>▪ Basic earnings per share</v>
          </cell>
          <cell r="E243">
            <v>70</v>
          </cell>
          <cell r="F243" t="str">
            <v/>
          </cell>
          <cell r="G243">
            <v>0</v>
          </cell>
          <cell r="H243">
            <v>0</v>
          </cell>
          <cell r="K243" t="str">
            <v>▪ Lãi cơ bản trên cổ phiếu</v>
          </cell>
          <cell r="L243">
            <v>70</v>
          </cell>
          <cell r="N243">
            <v>0</v>
          </cell>
          <cell r="O243">
            <v>0</v>
          </cell>
          <cell r="S243" t="str">
            <v>▪ Basic earnings per share</v>
          </cell>
          <cell r="T243">
            <v>70</v>
          </cell>
          <cell r="V243">
            <v>0</v>
          </cell>
          <cell r="W243">
            <v>0</v>
          </cell>
          <cell r="Z243" t="str">
            <v>▪ Lãi cơ bản trên cổ phiếu</v>
          </cell>
          <cell r="AA243">
            <v>70</v>
          </cell>
          <cell r="AC243">
            <v>0</v>
          </cell>
          <cell r="AD243">
            <v>0</v>
          </cell>
        </row>
        <row r="245">
          <cell r="D245" t="str">
            <v>▪ Diluted earnings per share</v>
          </cell>
          <cell r="E245">
            <v>71</v>
          </cell>
          <cell r="F245" t="str">
            <v/>
          </cell>
          <cell r="G245">
            <v>0</v>
          </cell>
          <cell r="H245">
            <v>0</v>
          </cell>
          <cell r="K245" t="str">
            <v>▪ Lãi suy giảm trên cổ phiếu</v>
          </cell>
          <cell r="L245">
            <v>71</v>
          </cell>
          <cell r="N245">
            <v>0</v>
          </cell>
          <cell r="O245">
            <v>0</v>
          </cell>
          <cell r="S245" t="str">
            <v>▪ Diluted earnings per share</v>
          </cell>
          <cell r="T245">
            <v>71</v>
          </cell>
          <cell r="V245">
            <v>0</v>
          </cell>
          <cell r="W245">
            <v>0</v>
          </cell>
          <cell r="Z245" t="str">
            <v>▪ Lãi suy giảm trên cổ phiếu</v>
          </cell>
          <cell r="AA245">
            <v>71</v>
          </cell>
          <cell r="AC245">
            <v>0</v>
          </cell>
          <cell r="AD245">
            <v>0</v>
          </cell>
        </row>
        <row r="246">
          <cell r="R246" t="str">
            <v/>
          </cell>
          <cell r="S246" t="str">
            <v/>
          </cell>
          <cell r="T246" t="str">
            <v/>
          </cell>
          <cell r="U246" t="str">
            <v/>
          </cell>
          <cell r="Y246" t="str">
            <v/>
          </cell>
          <cell r="Z246" t="str">
            <v/>
          </cell>
          <cell r="AA246" t="str">
            <v/>
          </cell>
          <cell r="AB246" t="str">
            <v/>
          </cell>
        </row>
        <row r="257">
          <cell r="C257" t="str">
            <v>Vo Thi Nguyen Linh</v>
          </cell>
          <cell r="E257" t="str">
            <v>Vo Thi Nguyen Linh</v>
          </cell>
          <cell r="H257" t="str">
            <v>Kutagi</v>
          </cell>
          <cell r="J257" t="str">
            <v>Võ Thị Nguyên Linh</v>
          </cell>
          <cell r="L257" t="str">
            <v>Võ Thị Nguyên Linh</v>
          </cell>
          <cell r="O257" t="str">
            <v>Kutagi</v>
          </cell>
          <cell r="R257" t="str">
            <v>Vo Thi Nguyen Linh</v>
          </cell>
          <cell r="T257" t="str">
            <v>Vo Thi Nguyen Linh</v>
          </cell>
          <cell r="W257" t="str">
            <v>Kutagi</v>
          </cell>
          <cell r="Y257" t="str">
            <v>Võ Thị Nguyên Linh</v>
          </cell>
          <cell r="AA257" t="str">
            <v>Võ Thị Nguyên Linh</v>
          </cell>
          <cell r="AD257" t="str">
            <v>Kutagi</v>
          </cell>
        </row>
        <row r="258">
          <cell r="C258" t="str">
            <v>Preparer</v>
          </cell>
          <cell r="E258" t="str">
            <v>Chief Accountant</v>
          </cell>
          <cell r="H258" t="str">
            <v>General Director</v>
          </cell>
          <cell r="J258" t="str">
            <v>Người lập biểu</v>
          </cell>
          <cell r="L258" t="str">
            <v>Kế toán trưởng</v>
          </cell>
          <cell r="O258" t="str">
            <v>Tổng Giám đốc</v>
          </cell>
          <cell r="R258" t="str">
            <v>Preparer</v>
          </cell>
          <cell r="T258" t="str">
            <v>Chief Accountant</v>
          </cell>
          <cell r="W258" t="str">
            <v>General Director</v>
          </cell>
          <cell r="Y258" t="str">
            <v>Người lập biểu</v>
          </cell>
          <cell r="AA258" t="str">
            <v>Kế toán trưởng</v>
          </cell>
          <cell r="AD258" t="str">
            <v>Tổng Giám đốc</v>
          </cell>
        </row>
        <row r="259">
          <cell r="C259" t="str">
            <v>Certificate No. 1065/KET</v>
          </cell>
          <cell r="J259" t="str">
            <v>Số chứng chỉ hành nghề: 1065/KET</v>
          </cell>
          <cell r="R259" t="str">
            <v>Certificate No. 1065/KET</v>
          </cell>
          <cell r="Y259" t="str">
            <v>Số chứng chỉ hành nghề: 1065/KET</v>
          </cell>
        </row>
        <row r="261">
          <cell r="H261" t="str">
            <v>25 July 2023</v>
          </cell>
          <cell r="O261" t="str">
            <v>Ngày 25 tháng 07 năm 2023</v>
          </cell>
          <cell r="W261" t="str">
            <v>25 July 2023</v>
          </cell>
          <cell r="AD261" t="str">
            <v>Ngày 25 tháng 07 năm 2023</v>
          </cell>
        </row>
        <row r="262">
          <cell r="C262" t="str">
            <v>DEF Company Limited</v>
          </cell>
          <cell r="J262" t="str">
            <v>Công ty TNHH DEF</v>
          </cell>
          <cell r="R262" t="str">
            <v>DEF Company Limited</v>
          </cell>
          <cell r="Y262" t="str">
            <v>Công ty TNHH DEF</v>
          </cell>
        </row>
        <row r="263">
          <cell r="C263" t="str">
            <v>122 Nguyen Cong Tru Street, Nguyen Thai Binh Ward, Ho Chi Minh City, Vietnam</v>
          </cell>
          <cell r="J263" t="str">
            <v>122 Nguyễn Công Trứ, Phường Nguyễn Thái Bình, Thành phố Hồ Chí Minh, Việt Nam</v>
          </cell>
          <cell r="R263" t="str">
            <v>122 Nguyen Cong Tru Street, Nguyen Thai Binh Ward, Ho Chi Minh City, Vietnam</v>
          </cell>
          <cell r="Y263" t="str">
            <v>122 Nguyễn Công Trứ, Phường Nguyễn Thái Bình, Thành phố Hồ Chí Minh, Việt Nam</v>
          </cell>
        </row>
        <row r="264">
          <cell r="C264" t="e">
            <v>#REF!</v>
          </cell>
          <cell r="J264" t="e">
            <v>#REF!</v>
          </cell>
          <cell r="R264" t="e">
            <v>#REF!</v>
          </cell>
          <cell r="Y264" t="e">
            <v>#REF!</v>
          </cell>
        </row>
        <row r="265">
          <cell r="C265" t="e">
            <v>#REF!</v>
          </cell>
          <cell r="J265" t="e">
            <v>#REF!</v>
          </cell>
          <cell r="R265" t="e">
            <v>#REF!</v>
          </cell>
          <cell r="Y265" t="e">
            <v>#REF!</v>
          </cell>
        </row>
        <row r="267">
          <cell r="C267" t="str">
            <v>Crowe Vietnam Master Binder Template v1.1</v>
          </cell>
          <cell r="H267" t="str">
            <v>B03-DN</v>
          </cell>
          <cell r="J267" t="str">
            <v>Crowe Vietnam Master Binder Template v1.1</v>
          </cell>
          <cell r="O267" t="str">
            <v>B03-DN</v>
          </cell>
          <cell r="R267" t="str">
            <v>Crowe Vietnam Master Binder Template v1.1</v>
          </cell>
          <cell r="W267" t="str">
            <v>B03-DN</v>
          </cell>
          <cell r="Y267" t="str">
            <v>Crowe Vietnam Master Binder Template v1.1</v>
          </cell>
          <cell r="AD267" t="str">
            <v>B03-DN</v>
          </cell>
        </row>
        <row r="268">
          <cell r="H268" t="str">
            <v>(Issued in accordance with Circular No. 200/2014/TT-BTC</v>
          </cell>
          <cell r="O268" t="str">
            <v>(Ban hành theo Thông tư số 200/2014/TT-BTC</v>
          </cell>
          <cell r="W268" t="str">
            <v>(Issued in accordance with Circular No. 200/2014/TT-BTC</v>
          </cell>
          <cell r="AD268" t="str">
            <v>(Ban hành theo Thông tư số 200/2014/TT-BTC</v>
          </cell>
        </row>
        <row r="269">
          <cell r="H269" t="str">
            <v>dated 22 December 2014 of the Ministry of Finance)</v>
          </cell>
          <cell r="O269" t="str">
            <v>ngày 22 tháng 12 năm 2014 của Bộ Tài chính)</v>
          </cell>
          <cell r="W269" t="str">
            <v>dated 22 December 2014 of the Ministry of Finance)</v>
          </cell>
          <cell r="AD269" t="str">
            <v>ngày 22 tháng 12 năm 2014 của Bộ Tài chính)</v>
          </cell>
        </row>
        <row r="271">
          <cell r="C271" t="str">
            <v>STATEMENT OF CASH FLOWS (indirect method)</v>
          </cell>
          <cell r="J271" t="str">
            <v>BÁO CÁO LƯU CHUYỂN TIỀN TỆ (phương pháp gián tiếp)</v>
          </cell>
          <cell r="R271" t="str">
            <v>STATEMENT OF CASH FLOWS (indirect method)</v>
          </cell>
          <cell r="Y271" t="str">
            <v>BÁO CÁO LƯU CHUYỂN TIỀN TỆ (phương pháp gián tiếp)</v>
          </cell>
        </row>
        <row r="272">
          <cell r="C272" t="str">
            <v>for the year ended 31 December 2023</v>
          </cell>
          <cell r="J272" t="str">
            <v>cho năm kết thúc ngày 31 tháng 12 năm 2023</v>
          </cell>
          <cell r="R272" t="str">
            <v>for the year ended 31 December 2023</v>
          </cell>
          <cell r="Y272" t="str">
            <v>cho năm kết thúc ngày 31 tháng 12 năm 2023</v>
          </cell>
        </row>
        <row r="273">
          <cell r="C273" t="str">
            <v>Unit: VND</v>
          </cell>
          <cell r="J273" t="str">
            <v>Đơn vị: VND</v>
          </cell>
          <cell r="R273" t="str">
            <v>Unit: VND 1,000</v>
          </cell>
          <cell r="Y273" t="str">
            <v>Đơn vị: 1.000 VND</v>
          </cell>
        </row>
        <row r="274">
          <cell r="C274" t="str">
            <v>(The accompanying Notes are an integral part of these Financial Statements)</v>
          </cell>
          <cell r="J274" t="str">
            <v>(Các Thuyết minh đính kèm là một phần không thể tách rời của các Báo cáo Tài chính này)</v>
          </cell>
          <cell r="R274" t="str">
            <v>(The accompanying Notes are an integral part of these Financial Statements)</v>
          </cell>
          <cell r="Y274" t="str">
            <v>(Các Thuyết minh đính kèm là một phần không thể tách rời của các Báo cáo Tài chính này)</v>
          </cell>
        </row>
        <row r="275">
          <cell r="R275" t="str">
            <v/>
          </cell>
          <cell r="S275" t="str">
            <v/>
          </cell>
          <cell r="T275" t="str">
            <v/>
          </cell>
          <cell r="U275" t="str">
            <v/>
          </cell>
          <cell r="Y275" t="str">
            <v/>
          </cell>
          <cell r="Z275" t="str">
            <v/>
          </cell>
          <cell r="AA275" t="str">
            <v/>
          </cell>
          <cell r="AB275" t="str">
            <v/>
          </cell>
        </row>
        <row r="276">
          <cell r="D276" t="str">
            <v>Items</v>
          </cell>
          <cell r="E276" t="str">
            <v>Code</v>
          </cell>
          <cell r="F276" t="str">
            <v>Notes</v>
          </cell>
          <cell r="G276" t="str">
            <v>Current year</v>
          </cell>
          <cell r="H276" t="str">
            <v>Previous year</v>
          </cell>
          <cell r="J276" t="str">
            <v/>
          </cell>
          <cell r="K276" t="str">
            <v>Chỉ tiêu</v>
          </cell>
          <cell r="L276" t="str">
            <v>Mã số</v>
          </cell>
          <cell r="M276" t="str">
            <v>TM</v>
          </cell>
          <cell r="N276" t="str">
            <v>Năm nay</v>
          </cell>
          <cell r="O276" t="str">
            <v>Năm trước</v>
          </cell>
          <cell r="R276" t="str">
            <v/>
          </cell>
          <cell r="S276" t="str">
            <v>Items</v>
          </cell>
          <cell r="T276" t="str">
            <v>Code</v>
          </cell>
          <cell r="U276" t="str">
            <v>Notes</v>
          </cell>
          <cell r="V276" t="str">
            <v>Current year</v>
          </cell>
          <cell r="W276" t="str">
            <v>Previous year</v>
          </cell>
          <cell r="Y276" t="str">
            <v/>
          </cell>
          <cell r="Z276" t="str">
            <v>Chỉ tiêu</v>
          </cell>
          <cell r="AA276" t="str">
            <v>Mã số</v>
          </cell>
          <cell r="AB276" t="str">
            <v>TM</v>
          </cell>
          <cell r="AC276" t="str">
            <v>Năm nay</v>
          </cell>
          <cell r="AD276" t="str">
            <v>Năm trước</v>
          </cell>
        </row>
        <row r="277">
          <cell r="J277" t="str">
            <v/>
          </cell>
          <cell r="M277" t="str">
            <v/>
          </cell>
          <cell r="R277" t="str">
            <v/>
          </cell>
          <cell r="S277" t="str">
            <v/>
          </cell>
          <cell r="T277" t="str">
            <v/>
          </cell>
          <cell r="U277" t="str">
            <v/>
          </cell>
          <cell r="Y277" t="str">
            <v/>
          </cell>
          <cell r="Z277" t="str">
            <v/>
          </cell>
          <cell r="AA277" t="str">
            <v/>
          </cell>
          <cell r="AB277" t="str">
            <v/>
          </cell>
        </row>
        <row r="278">
          <cell r="C278" t="str">
            <v>I.</v>
          </cell>
          <cell r="D278" t="str">
            <v>CASH FLOWS FROM 
OPERATING ACTIVITIES</v>
          </cell>
          <cell r="J278" t="str">
            <v>I.</v>
          </cell>
          <cell r="K278" t="str">
            <v>LƯU CHUYỂN TIỀN TỪ 
HOẠT ĐỘNG KINH DOANH</v>
          </cell>
          <cell r="M278" t="str">
            <v/>
          </cell>
          <cell r="R278" t="str">
            <v>I.</v>
          </cell>
          <cell r="S278" t="str">
            <v>CASH FLOWS FROM 
OPERATING ACTIVITIES</v>
          </cell>
          <cell r="T278" t="str">
            <v/>
          </cell>
          <cell r="U278" t="str">
            <v/>
          </cell>
          <cell r="Y278" t="str">
            <v>I.</v>
          </cell>
          <cell r="Z278" t="str">
            <v>LƯU CHUYỂN TIỀN TỪ 
HOẠT ĐỘNG KINH DOANH</v>
          </cell>
          <cell r="AA278" t="str">
            <v/>
          </cell>
          <cell r="AB278" t="str">
            <v/>
          </cell>
        </row>
        <row r="279">
          <cell r="J279" t="str">
            <v/>
          </cell>
          <cell r="M279" t="str">
            <v/>
          </cell>
          <cell r="R279" t="str">
            <v/>
          </cell>
          <cell r="S279" t="str">
            <v/>
          </cell>
          <cell r="T279" t="str">
            <v/>
          </cell>
          <cell r="U279" t="str">
            <v/>
          </cell>
          <cell r="Y279" t="str">
            <v/>
          </cell>
          <cell r="Z279" t="str">
            <v/>
          </cell>
          <cell r="AA279" t="str">
            <v/>
          </cell>
          <cell r="AB279" t="str">
            <v/>
          </cell>
        </row>
        <row r="280">
          <cell r="D280" t="str">
            <v>▪ (Loss)/profit before tax</v>
          </cell>
          <cell r="E280" t="str">
            <v>01</v>
          </cell>
          <cell r="G280">
            <v>-921370336</v>
          </cell>
          <cell r="H280">
            <v>114200846</v>
          </cell>
          <cell r="J280" t="str">
            <v/>
          </cell>
          <cell r="K280" t="str">
            <v>▪ (Lỗ)/lợi nhuận trước thuế</v>
          </cell>
          <cell r="L280" t="str">
            <v>01</v>
          </cell>
          <cell r="M280" t="str">
            <v/>
          </cell>
          <cell r="N280">
            <v>-921370336</v>
          </cell>
          <cell r="O280">
            <v>114200846</v>
          </cell>
          <cell r="R280" t="str">
            <v/>
          </cell>
          <cell r="S280" t="str">
            <v>▪ (Loss)/profit before tax</v>
          </cell>
          <cell r="T280" t="str">
            <v>01</v>
          </cell>
          <cell r="U280" t="str">
            <v/>
          </cell>
          <cell r="V280">
            <v>-20583413305</v>
          </cell>
          <cell r="W280">
            <v>2503510946</v>
          </cell>
          <cell r="Y280" t="str">
            <v/>
          </cell>
          <cell r="Z280" t="str">
            <v>▪ (Lỗ)/lợi nhuận trước thuế</v>
          </cell>
          <cell r="AA280" t="str">
            <v>01</v>
          </cell>
          <cell r="AB280" t="str">
            <v/>
          </cell>
          <cell r="AC280">
            <v>-20583413305</v>
          </cell>
          <cell r="AD280">
            <v>2503510946</v>
          </cell>
        </row>
        <row r="281">
          <cell r="J281" t="str">
            <v/>
          </cell>
          <cell r="M281" t="str">
            <v/>
          </cell>
          <cell r="R281" t="str">
            <v/>
          </cell>
          <cell r="S281" t="str">
            <v/>
          </cell>
          <cell r="T281" t="str">
            <v/>
          </cell>
          <cell r="U281" t="str">
            <v/>
          </cell>
          <cell r="Y281" t="str">
            <v/>
          </cell>
          <cell r="Z281" t="str">
            <v/>
          </cell>
          <cell r="AA281" t="str">
            <v/>
          </cell>
          <cell r="AB281" t="str">
            <v/>
          </cell>
        </row>
        <row r="282">
          <cell r="D282" t="str">
            <v>Adjustments for:</v>
          </cell>
          <cell r="J282" t="str">
            <v/>
          </cell>
          <cell r="K282" t="str">
            <v>Điều chỉnh cho các khoản:</v>
          </cell>
          <cell r="M282" t="str">
            <v/>
          </cell>
          <cell r="R282" t="str">
            <v/>
          </cell>
          <cell r="S282" t="str">
            <v>Adjustments for:</v>
          </cell>
          <cell r="T282" t="str">
            <v/>
          </cell>
          <cell r="U282" t="str">
            <v/>
          </cell>
          <cell r="Y282" t="str">
            <v/>
          </cell>
          <cell r="Z282" t="str">
            <v>Điều chỉnh cho các khoản:</v>
          </cell>
          <cell r="AA282" t="str">
            <v/>
          </cell>
          <cell r="AB282" t="str">
            <v/>
          </cell>
        </row>
        <row r="283">
          <cell r="D283" t="str">
            <v>▪ Depreciation</v>
          </cell>
          <cell r="E283" t="str">
            <v>02</v>
          </cell>
          <cell r="F283" t="str">
            <v>11,,</v>
          </cell>
          <cell r="G283">
            <v>9829992</v>
          </cell>
          <cell r="H283">
            <v>1</v>
          </cell>
          <cell r="J283" t="str">
            <v/>
          </cell>
          <cell r="K283" t="str">
            <v xml:space="preserve">▪ Khấu hao TSCĐ </v>
          </cell>
          <cell r="L283" t="str">
            <v>02</v>
          </cell>
          <cell r="M283" t="str">
            <v>11,,</v>
          </cell>
          <cell r="N283">
            <v>9829992</v>
          </cell>
          <cell r="O283">
            <v>1</v>
          </cell>
          <cell r="R283" t="str">
            <v/>
          </cell>
          <cell r="S283" t="str">
            <v>▪ Depreciation</v>
          </cell>
          <cell r="T283" t="str">
            <v>02</v>
          </cell>
          <cell r="U283" t="str">
            <v>11,,</v>
          </cell>
          <cell r="V283">
            <v>219602021</v>
          </cell>
          <cell r="W283">
            <v>626423354</v>
          </cell>
          <cell r="Y283" t="str">
            <v/>
          </cell>
          <cell r="Z283" t="str">
            <v xml:space="preserve">▪ Khấu hao TSCĐ </v>
          </cell>
          <cell r="AA283" t="str">
            <v>02</v>
          </cell>
          <cell r="AB283" t="str">
            <v>11,,</v>
          </cell>
          <cell r="AC283">
            <v>219602021</v>
          </cell>
          <cell r="AD283">
            <v>626423354</v>
          </cell>
        </row>
        <row r="284">
          <cell r="D284" t="str">
            <v>▪ Provisions</v>
          </cell>
          <cell r="E284" t="str">
            <v>03</v>
          </cell>
          <cell r="G284">
            <v>0</v>
          </cell>
          <cell r="H284">
            <v>2</v>
          </cell>
          <cell r="J284" t="str">
            <v/>
          </cell>
          <cell r="K284" t="str">
            <v>▪ Các khoản dự phòng</v>
          </cell>
          <cell r="L284" t="str">
            <v>03</v>
          </cell>
          <cell r="M284" t="str">
            <v/>
          </cell>
          <cell r="N284">
            <v>0</v>
          </cell>
          <cell r="O284">
            <v>2</v>
          </cell>
          <cell r="R284" t="str">
            <v/>
          </cell>
          <cell r="S284" t="str">
            <v>▪ Provisions</v>
          </cell>
          <cell r="T284" t="str">
            <v>03</v>
          </cell>
          <cell r="U284" t="str">
            <v/>
          </cell>
          <cell r="V284">
            <v>0</v>
          </cell>
          <cell r="W284">
            <v>-297237</v>
          </cell>
          <cell r="Y284" t="str">
            <v/>
          </cell>
          <cell r="Z284" t="str">
            <v>▪ Các khoản dự phòng</v>
          </cell>
          <cell r="AA284" t="str">
            <v>03</v>
          </cell>
          <cell r="AB284" t="str">
            <v/>
          </cell>
          <cell r="AC284">
            <v>0</v>
          </cell>
          <cell r="AD284">
            <v>-297237</v>
          </cell>
        </row>
        <row r="285">
          <cell r="D285" t="str">
            <v>▪ Exchange rate difference (gain)/loss on
  revaluation of foreign currency items</v>
          </cell>
          <cell r="E285" t="str">
            <v>04</v>
          </cell>
          <cell r="F285" t="str">
            <v/>
          </cell>
          <cell r="G285">
            <v>0</v>
          </cell>
          <cell r="H285">
            <v>3</v>
          </cell>
          <cell r="J285" t="str">
            <v/>
          </cell>
          <cell r="K285" t="str">
            <v>▪ (Lãi)/lỗ chênh lệch tỷ giá hối đoái do đánh giá lại các khoản mục tiền tệ có gốc ngoại tệ</v>
          </cell>
          <cell r="L285" t="str">
            <v>04</v>
          </cell>
          <cell r="M285" t="str">
            <v/>
          </cell>
          <cell r="N285">
            <v>0</v>
          </cell>
          <cell r="O285">
            <v>3</v>
          </cell>
          <cell r="R285" t="str">
            <v/>
          </cell>
          <cell r="S285" t="str">
            <v>▪ Exchange rate difference (gain)/loss on
  revaluation of foreign currency items</v>
          </cell>
          <cell r="T285" t="str">
            <v>04</v>
          </cell>
          <cell r="U285" t="str">
            <v/>
          </cell>
          <cell r="V285">
            <v>0</v>
          </cell>
          <cell r="W285">
            <v>443608</v>
          </cell>
          <cell r="Y285" t="str">
            <v/>
          </cell>
          <cell r="Z285" t="str">
            <v>▪ (Lãi)/lỗ chênh lệch tỷ giá hối đoái do đánh giá lại các khoản mục tiền tệ có gốc ngoại tệ</v>
          </cell>
          <cell r="AA285" t="str">
            <v>04</v>
          </cell>
          <cell r="AB285" t="str">
            <v/>
          </cell>
          <cell r="AC285">
            <v>0</v>
          </cell>
          <cell r="AD285">
            <v>443608</v>
          </cell>
        </row>
        <row r="286">
          <cell r="H286">
            <v>0</v>
          </cell>
        </row>
        <row r="287">
          <cell r="H287">
            <v>0</v>
          </cell>
        </row>
        <row r="288">
          <cell r="D288" t="str">
            <v>▪ (Gains)/losses from investing activities</v>
          </cell>
          <cell r="E288" t="str">
            <v>05</v>
          </cell>
          <cell r="F288" t="str">
            <v>23</v>
          </cell>
          <cell r="G288">
            <v>0</v>
          </cell>
          <cell r="H288">
            <v>4</v>
          </cell>
          <cell r="J288" t="str">
            <v/>
          </cell>
          <cell r="K288" t="str">
            <v>▪ (Lãi)/lỗ từ hoạt động đầu tư</v>
          </cell>
          <cell r="L288" t="str">
            <v>05</v>
          </cell>
          <cell r="M288" t="str">
            <v>23</v>
          </cell>
          <cell r="N288">
            <v>0</v>
          </cell>
          <cell r="O288">
            <v>4</v>
          </cell>
          <cell r="R288" t="str">
            <v/>
          </cell>
          <cell r="S288" t="str">
            <v>▪ (Gains)/losses from investing activities</v>
          </cell>
          <cell r="T288" t="str">
            <v>05</v>
          </cell>
          <cell r="U288" t="str">
            <v>23</v>
          </cell>
          <cell r="V288">
            <v>0</v>
          </cell>
          <cell r="W288">
            <v>10667060</v>
          </cell>
          <cell r="Y288" t="str">
            <v/>
          </cell>
          <cell r="Z288" t="str">
            <v>▪ (Lãi)/lỗ từ hoạt động đầu tư</v>
          </cell>
          <cell r="AA288" t="str">
            <v>05</v>
          </cell>
          <cell r="AB288" t="str">
            <v>23</v>
          </cell>
          <cell r="AC288">
            <v>0</v>
          </cell>
          <cell r="AD288">
            <v>10667060</v>
          </cell>
        </row>
        <row r="289">
          <cell r="D289" t="str">
            <v>▪ Interest expenses</v>
          </cell>
          <cell r="E289" t="str">
            <v>06</v>
          </cell>
          <cell r="F289" t="str">
            <v>24</v>
          </cell>
          <cell r="G289">
            <v>0</v>
          </cell>
          <cell r="H289">
            <v>5</v>
          </cell>
          <cell r="J289" t="str">
            <v/>
          </cell>
          <cell r="K289" t="str">
            <v>▪ Chi phí lãi vay</v>
          </cell>
          <cell r="L289" t="str">
            <v>06</v>
          </cell>
          <cell r="M289" t="str">
            <v>24</v>
          </cell>
          <cell r="N289">
            <v>0</v>
          </cell>
          <cell r="O289">
            <v>5</v>
          </cell>
          <cell r="R289" t="str">
            <v/>
          </cell>
          <cell r="S289" t="str">
            <v>▪ Interest expenses</v>
          </cell>
          <cell r="T289" t="str">
            <v>06</v>
          </cell>
          <cell r="U289" t="str">
            <v>24</v>
          </cell>
          <cell r="V289">
            <v>0</v>
          </cell>
          <cell r="W289">
            <v>46900292</v>
          </cell>
          <cell r="Y289" t="str">
            <v/>
          </cell>
          <cell r="Z289" t="str">
            <v>▪ Chi phí lãi vay</v>
          </cell>
          <cell r="AA289" t="str">
            <v>06</v>
          </cell>
          <cell r="AB289" t="str">
            <v>24</v>
          </cell>
          <cell r="AC289">
            <v>0</v>
          </cell>
          <cell r="AD289">
            <v>46900292</v>
          </cell>
        </row>
        <row r="290">
          <cell r="D290" t="str">
            <v>▪ Other adjustments</v>
          </cell>
          <cell r="E290" t="str">
            <v>07</v>
          </cell>
          <cell r="G290">
            <v>0</v>
          </cell>
          <cell r="H290">
            <v>6</v>
          </cell>
          <cell r="K290" t="str">
            <v>▪ Các khoản điều chỉnh khác</v>
          </cell>
          <cell r="L290" t="str">
            <v>07</v>
          </cell>
          <cell r="N290">
            <v>0</v>
          </cell>
          <cell r="O290">
            <v>6</v>
          </cell>
          <cell r="S290" t="str">
            <v>▪ Other adjustments</v>
          </cell>
          <cell r="T290" t="str">
            <v>07</v>
          </cell>
          <cell r="V290">
            <v>0</v>
          </cell>
          <cell r="W290">
            <v>0</v>
          </cell>
          <cell r="Z290" t="str">
            <v>▪ Các khoản điều chỉnh khác</v>
          </cell>
          <cell r="AA290" t="str">
            <v>07</v>
          </cell>
          <cell r="AC290">
            <v>0</v>
          </cell>
          <cell r="AD290">
            <v>0</v>
          </cell>
        </row>
        <row r="291">
          <cell r="J291" t="str">
            <v/>
          </cell>
          <cell r="M291" t="str">
            <v/>
          </cell>
          <cell r="R291" t="str">
            <v/>
          </cell>
          <cell r="S291" t="str">
            <v/>
          </cell>
          <cell r="T291" t="str">
            <v/>
          </cell>
          <cell r="U291" t="str">
            <v/>
          </cell>
          <cell r="Y291" t="str">
            <v/>
          </cell>
          <cell r="Z291" t="str">
            <v/>
          </cell>
          <cell r="AA291" t="str">
            <v/>
          </cell>
          <cell r="AB291" t="str">
            <v/>
          </cell>
        </row>
        <row r="292">
          <cell r="D292" t="str">
            <v>Operating (loss)/profit before changes in
working capital</v>
          </cell>
          <cell r="E292" t="str">
            <v>08</v>
          </cell>
          <cell r="G292">
            <v>-911540344</v>
          </cell>
          <cell r="H292">
            <v>114200867</v>
          </cell>
          <cell r="J292" t="str">
            <v/>
          </cell>
          <cell r="K292" t="str">
            <v>(Lỗ)/lợi nhuận từ hoạt động kinh doanh
trước thay đổi vốn lưu động</v>
          </cell>
          <cell r="L292" t="str">
            <v>08</v>
          </cell>
          <cell r="M292" t="str">
            <v/>
          </cell>
          <cell r="N292">
            <v>-911540344</v>
          </cell>
          <cell r="O292">
            <v>114200867</v>
          </cell>
          <cell r="R292" t="str">
            <v/>
          </cell>
          <cell r="S292" t="str">
            <v>Operating (loss)/profit before changes in
working capital</v>
          </cell>
          <cell r="T292" t="str">
            <v>08</v>
          </cell>
          <cell r="U292" t="str">
            <v/>
          </cell>
          <cell r="V292">
            <v>-20363811284</v>
          </cell>
          <cell r="W292">
            <v>3187648023</v>
          </cell>
          <cell r="Y292" t="str">
            <v/>
          </cell>
          <cell r="Z292" t="str">
            <v>(Lỗ)/lợi nhuận từ hoạt động kinh doanh
trước thay đổi vốn lưu động</v>
          </cell>
          <cell r="AA292" t="str">
            <v>08</v>
          </cell>
          <cell r="AB292" t="str">
            <v/>
          </cell>
          <cell r="AC292">
            <v>-20363811284</v>
          </cell>
          <cell r="AD292">
            <v>3187648023</v>
          </cell>
        </row>
        <row r="293">
          <cell r="D293" t="str">
            <v>▪ Decrease in receivables</v>
          </cell>
          <cell r="E293" t="str">
            <v>09</v>
          </cell>
          <cell r="G293">
            <v>642138897</v>
          </cell>
          <cell r="H293">
            <v>7</v>
          </cell>
          <cell r="J293" t="str">
            <v/>
          </cell>
          <cell r="K293" t="str">
            <v>▪ Giảm các khoản phải thu</v>
          </cell>
          <cell r="L293" t="str">
            <v>09</v>
          </cell>
          <cell r="M293" t="str">
            <v/>
          </cell>
          <cell r="N293">
            <v>642138897</v>
          </cell>
          <cell r="O293">
            <v>7</v>
          </cell>
          <cell r="R293" t="str">
            <v/>
          </cell>
          <cell r="S293" t="str">
            <v>▪ Decrease in receivables</v>
          </cell>
          <cell r="T293" t="str">
            <v>09</v>
          </cell>
          <cell r="U293" t="str">
            <v/>
          </cell>
          <cell r="V293">
            <v>14345382959</v>
          </cell>
          <cell r="W293">
            <v>117452510</v>
          </cell>
          <cell r="Y293" t="str">
            <v/>
          </cell>
          <cell r="Z293" t="str">
            <v>▪ Giảm các khoản phải thu</v>
          </cell>
          <cell r="AA293" t="str">
            <v>09</v>
          </cell>
          <cell r="AB293" t="str">
            <v/>
          </cell>
          <cell r="AC293">
            <v>14345382959</v>
          </cell>
          <cell r="AD293">
            <v>117452510</v>
          </cell>
        </row>
        <row r="294">
          <cell r="D294" t="str">
            <v>▪ (Increase)/decrease in inventories</v>
          </cell>
          <cell r="E294">
            <v>10</v>
          </cell>
          <cell r="G294">
            <v>-103477573</v>
          </cell>
          <cell r="H294">
            <v>8</v>
          </cell>
          <cell r="J294" t="str">
            <v/>
          </cell>
          <cell r="K294" t="str">
            <v>▪ (Tăng)/giảm hàng tồn kho</v>
          </cell>
          <cell r="L294">
            <v>10</v>
          </cell>
          <cell r="M294" t="str">
            <v/>
          </cell>
          <cell r="N294">
            <v>-103477573</v>
          </cell>
          <cell r="O294">
            <v>8</v>
          </cell>
          <cell r="R294" t="str">
            <v/>
          </cell>
          <cell r="S294" t="str">
            <v>▪ (Increase)/decrease in inventories</v>
          </cell>
          <cell r="T294">
            <v>10</v>
          </cell>
          <cell r="U294" t="str">
            <v/>
          </cell>
          <cell r="V294">
            <v>-2311688981</v>
          </cell>
          <cell r="W294">
            <v>-22396680</v>
          </cell>
          <cell r="Y294" t="str">
            <v/>
          </cell>
          <cell r="Z294" t="str">
            <v>▪ (Tăng)/giảm hàng tồn kho</v>
          </cell>
          <cell r="AA294">
            <v>10</v>
          </cell>
          <cell r="AB294" t="str">
            <v/>
          </cell>
          <cell r="AC294">
            <v>-2311688981</v>
          </cell>
          <cell r="AD294">
            <v>-22396680</v>
          </cell>
        </row>
        <row r="295">
          <cell r="D295" t="str">
            <v>▪ Increase in payables
  (excluding interest, CIT payables)</v>
          </cell>
          <cell r="E295">
            <v>11</v>
          </cell>
          <cell r="G295">
            <v>222565539</v>
          </cell>
          <cell r="H295">
            <v>9</v>
          </cell>
          <cell r="J295" t="str">
            <v/>
          </cell>
          <cell r="K295" t="str">
            <v>▪ Tăng các khoản phải trả (không
  kể lãi vay phải trả, thuế TNDN phải nộp)</v>
          </cell>
          <cell r="L295">
            <v>11</v>
          </cell>
          <cell r="M295" t="str">
            <v/>
          </cell>
          <cell r="N295">
            <v>222565539</v>
          </cell>
          <cell r="O295">
            <v>9</v>
          </cell>
          <cell r="R295" t="str">
            <v/>
          </cell>
          <cell r="S295" t="str">
            <v>▪ Increase in payables
  (excluding interest, CIT payables)</v>
          </cell>
          <cell r="T295">
            <v>11</v>
          </cell>
          <cell r="U295" t="str">
            <v/>
          </cell>
          <cell r="V295">
            <v>4972114141</v>
          </cell>
          <cell r="W295">
            <v>-95495720</v>
          </cell>
          <cell r="Y295" t="str">
            <v/>
          </cell>
          <cell r="Z295" t="str">
            <v>▪ Tăng các khoản phải trả (không
  kể lãi vay phải trả, thuế TNDN phải nộp)</v>
          </cell>
          <cell r="AA295">
            <v>11</v>
          </cell>
          <cell r="AB295" t="str">
            <v/>
          </cell>
          <cell r="AC295">
            <v>4972114141</v>
          </cell>
          <cell r="AD295">
            <v>-95495720</v>
          </cell>
        </row>
        <row r="296">
          <cell r="D296" t="str">
            <v>▪ (Increase)/decrease in prepaid expenses</v>
          </cell>
          <cell r="E296">
            <v>12</v>
          </cell>
          <cell r="G296">
            <v>-34776653</v>
          </cell>
          <cell r="H296">
            <v>10</v>
          </cell>
          <cell r="J296" t="str">
            <v/>
          </cell>
          <cell r="K296" t="str">
            <v>▪ (Tăng)/giảm chi phí trả trước</v>
          </cell>
          <cell r="L296">
            <v>12</v>
          </cell>
          <cell r="M296" t="str">
            <v/>
          </cell>
          <cell r="N296">
            <v>-34776653</v>
          </cell>
          <cell r="O296">
            <v>10</v>
          </cell>
          <cell r="R296" t="str">
            <v/>
          </cell>
          <cell r="S296" t="str">
            <v>▪ (Increase)/decrease in prepaid expenses</v>
          </cell>
          <cell r="T296">
            <v>12</v>
          </cell>
          <cell r="U296" t="str">
            <v/>
          </cell>
          <cell r="V296">
            <v>-776910428</v>
          </cell>
          <cell r="W296">
            <v>43301563</v>
          </cell>
          <cell r="Y296" t="str">
            <v/>
          </cell>
          <cell r="Z296" t="str">
            <v>▪ (Tăng)/giảm chi phí trả trước</v>
          </cell>
          <cell r="AA296">
            <v>12</v>
          </cell>
          <cell r="AB296" t="str">
            <v/>
          </cell>
          <cell r="AC296">
            <v>-776910428</v>
          </cell>
          <cell r="AD296">
            <v>43301563</v>
          </cell>
        </row>
        <row r="297">
          <cell r="D297" t="str">
            <v>▪ (Increase)/decrease in trading securities</v>
          </cell>
          <cell r="E297">
            <v>13</v>
          </cell>
          <cell r="G297">
            <v>0</v>
          </cell>
          <cell r="H297">
            <v>11</v>
          </cell>
          <cell r="K297" t="str">
            <v>▪ (Tăng)/giảm chứng khoán kinh doanh</v>
          </cell>
          <cell r="L297">
            <v>13</v>
          </cell>
          <cell r="N297">
            <v>0</v>
          </cell>
          <cell r="O297">
            <v>11</v>
          </cell>
          <cell r="S297" t="str">
            <v>▪ (Increase)/decrease in trading securities</v>
          </cell>
          <cell r="T297">
            <v>13</v>
          </cell>
          <cell r="V297">
            <v>0</v>
          </cell>
          <cell r="W297">
            <v>0</v>
          </cell>
          <cell r="Z297" t="str">
            <v>▪ (Tăng)/giảm chứng khoán kinh doanh</v>
          </cell>
          <cell r="AA297">
            <v>13</v>
          </cell>
          <cell r="AC297">
            <v>0</v>
          </cell>
          <cell r="AD297">
            <v>0</v>
          </cell>
        </row>
        <row r="298">
          <cell r="D298" t="str">
            <v>▪ Interest expenses paid</v>
          </cell>
          <cell r="E298">
            <v>14</v>
          </cell>
          <cell r="G298">
            <v>0</v>
          </cell>
          <cell r="H298">
            <v>12</v>
          </cell>
          <cell r="J298" t="str">
            <v/>
          </cell>
          <cell r="K298" t="str">
            <v>▪ Tiền lãi vay đã trả</v>
          </cell>
          <cell r="L298">
            <v>14</v>
          </cell>
          <cell r="M298" t="str">
            <v/>
          </cell>
          <cell r="N298">
            <v>0</v>
          </cell>
          <cell r="O298">
            <v>12</v>
          </cell>
          <cell r="R298" t="str">
            <v/>
          </cell>
          <cell r="S298" t="str">
            <v>▪ Interest expenses paid</v>
          </cell>
          <cell r="T298">
            <v>14</v>
          </cell>
          <cell r="U298" t="str">
            <v/>
          </cell>
          <cell r="V298">
            <v>0</v>
          </cell>
          <cell r="W298">
            <v>-45150140</v>
          </cell>
          <cell r="Y298" t="str">
            <v/>
          </cell>
          <cell r="Z298" t="str">
            <v>▪ Tiền lãi vay đã trả</v>
          </cell>
          <cell r="AA298">
            <v>14</v>
          </cell>
          <cell r="AB298" t="str">
            <v/>
          </cell>
          <cell r="AC298">
            <v>0</v>
          </cell>
          <cell r="AD298">
            <v>-45150140</v>
          </cell>
        </row>
        <row r="299">
          <cell r="D299" t="str">
            <v>▪ CIT paid</v>
          </cell>
          <cell r="E299">
            <v>15</v>
          </cell>
          <cell r="G299">
            <v>0</v>
          </cell>
          <cell r="H299">
            <v>13</v>
          </cell>
          <cell r="J299" t="str">
            <v/>
          </cell>
          <cell r="K299" t="str">
            <v>▪ Thuế TNDN đã nộp</v>
          </cell>
          <cell r="L299">
            <v>15</v>
          </cell>
          <cell r="M299" t="str">
            <v/>
          </cell>
          <cell r="N299">
            <v>0</v>
          </cell>
          <cell r="O299">
            <v>13</v>
          </cell>
          <cell r="R299" t="str">
            <v/>
          </cell>
          <cell r="S299" t="str">
            <v>▪ CIT paid</v>
          </cell>
          <cell r="T299">
            <v>15</v>
          </cell>
          <cell r="U299" t="str">
            <v/>
          </cell>
          <cell r="V299">
            <v>0</v>
          </cell>
          <cell r="W299">
            <v>-19255159</v>
          </cell>
          <cell r="Y299" t="str">
            <v/>
          </cell>
          <cell r="Z299" t="str">
            <v>▪ Thuế TNDN đã nộp</v>
          </cell>
          <cell r="AA299">
            <v>15</v>
          </cell>
          <cell r="AB299" t="str">
            <v/>
          </cell>
          <cell r="AC299">
            <v>0</v>
          </cell>
          <cell r="AD299">
            <v>-19255159</v>
          </cell>
        </row>
        <row r="300">
          <cell r="D300" t="str">
            <v>▪ Other cash inflows from operating 
   activities</v>
          </cell>
          <cell r="E300">
            <v>16</v>
          </cell>
          <cell r="G300">
            <v>0</v>
          </cell>
          <cell r="H300">
            <v>14</v>
          </cell>
          <cell r="J300" t="str">
            <v/>
          </cell>
          <cell r="K300" t="str">
            <v>▪ Tiền thu khác từ hoạt động
   kinh doanh</v>
          </cell>
          <cell r="L300">
            <v>16</v>
          </cell>
          <cell r="M300" t="str">
            <v/>
          </cell>
          <cell r="N300">
            <v>0</v>
          </cell>
          <cell r="O300">
            <v>14</v>
          </cell>
          <cell r="R300" t="str">
            <v/>
          </cell>
          <cell r="S300" t="str">
            <v>▪ Other cash inflows from operating 
   activities</v>
          </cell>
          <cell r="T300">
            <v>16</v>
          </cell>
          <cell r="U300" t="str">
            <v/>
          </cell>
          <cell r="V300">
            <v>0</v>
          </cell>
          <cell r="W300">
            <v>0</v>
          </cell>
          <cell r="Y300" t="str">
            <v/>
          </cell>
          <cell r="Z300" t="str">
            <v>▪ Tiền thu khác từ hoạt động
   kinh doanh</v>
          </cell>
          <cell r="AA300">
            <v>16</v>
          </cell>
          <cell r="AB300" t="str">
            <v/>
          </cell>
          <cell r="AC300">
            <v>0</v>
          </cell>
          <cell r="AD300">
            <v>0</v>
          </cell>
        </row>
        <row r="301">
          <cell r="D301" t="str">
            <v>▪ Other cash outflows from operating 
   activities</v>
          </cell>
          <cell r="E301">
            <v>17</v>
          </cell>
          <cell r="G301">
            <v>0</v>
          </cell>
          <cell r="H301">
            <v>15</v>
          </cell>
          <cell r="J301" t="str">
            <v/>
          </cell>
          <cell r="K301" t="str">
            <v>▪ Tiền chi khác cho hoạt động
   kinh doanh</v>
          </cell>
          <cell r="L301">
            <v>17</v>
          </cell>
          <cell r="M301" t="str">
            <v/>
          </cell>
          <cell r="N301">
            <v>0</v>
          </cell>
          <cell r="O301">
            <v>15</v>
          </cell>
          <cell r="R301" t="str">
            <v/>
          </cell>
          <cell r="S301" t="str">
            <v>▪ Other cash outflows from operating 
   activities</v>
          </cell>
          <cell r="T301">
            <v>17</v>
          </cell>
          <cell r="U301" t="str">
            <v/>
          </cell>
          <cell r="V301">
            <v>0</v>
          </cell>
          <cell r="W301">
            <v>0</v>
          </cell>
          <cell r="Y301" t="str">
            <v/>
          </cell>
          <cell r="Z301" t="str">
            <v>▪ Tiền chi khác cho hoạt động
   kinh doanh</v>
          </cell>
          <cell r="AA301">
            <v>17</v>
          </cell>
          <cell r="AB301" t="str">
            <v/>
          </cell>
          <cell r="AC301">
            <v>0</v>
          </cell>
          <cell r="AD301">
            <v>0</v>
          </cell>
        </row>
        <row r="302">
          <cell r="J302" t="str">
            <v/>
          </cell>
          <cell r="M302" t="str">
            <v/>
          </cell>
          <cell r="R302" t="str">
            <v/>
          </cell>
          <cell r="S302" t="str">
            <v/>
          </cell>
          <cell r="T302" t="str">
            <v/>
          </cell>
          <cell r="U302" t="str">
            <v/>
          </cell>
          <cell r="Y302" t="str">
            <v/>
          </cell>
          <cell r="Z302" t="str">
            <v/>
          </cell>
          <cell r="AA302" t="str">
            <v/>
          </cell>
          <cell r="AB302" t="str">
            <v/>
          </cell>
        </row>
        <row r="303">
          <cell r="D303" t="str">
            <v>Net cash flows from operating
activities</v>
          </cell>
          <cell r="E303">
            <v>20</v>
          </cell>
          <cell r="G303">
            <v>-185090134</v>
          </cell>
          <cell r="H303">
            <v>114200966</v>
          </cell>
          <cell r="J303" t="str">
            <v/>
          </cell>
          <cell r="K303" t="str">
            <v>Lưu chuyển tiền thuần từ
hoạt động kinh doanh</v>
          </cell>
          <cell r="L303">
            <v>20</v>
          </cell>
          <cell r="M303" t="str">
            <v/>
          </cell>
          <cell r="N303">
            <v>-185090134</v>
          </cell>
          <cell r="O303">
            <v>114200966</v>
          </cell>
          <cell r="R303" t="str">
            <v/>
          </cell>
          <cell r="S303" t="str">
            <v>Net cash flows from operating
activities</v>
          </cell>
          <cell r="T303">
            <v>20</v>
          </cell>
          <cell r="U303" t="str">
            <v/>
          </cell>
          <cell r="V303">
            <v>-4134913593</v>
          </cell>
          <cell r="W303">
            <v>3166104397</v>
          </cell>
          <cell r="Y303" t="str">
            <v/>
          </cell>
          <cell r="Z303" t="str">
            <v>Lưu chuyển tiền thuần từ
hoạt động kinh doanh</v>
          </cell>
          <cell r="AA303">
            <v>20</v>
          </cell>
          <cell r="AB303" t="str">
            <v/>
          </cell>
          <cell r="AC303">
            <v>-4134913593</v>
          </cell>
          <cell r="AD303">
            <v>3166104397</v>
          </cell>
        </row>
        <row r="304">
          <cell r="J304" t="str">
            <v/>
          </cell>
          <cell r="M304" t="str">
            <v/>
          </cell>
          <cell r="R304" t="str">
            <v/>
          </cell>
          <cell r="S304" t="str">
            <v/>
          </cell>
          <cell r="T304" t="str">
            <v/>
          </cell>
          <cell r="U304" t="str">
            <v/>
          </cell>
          <cell r="Y304" t="str">
            <v/>
          </cell>
          <cell r="Z304" t="str">
            <v/>
          </cell>
          <cell r="AA304" t="str">
            <v/>
          </cell>
          <cell r="AB304" t="str">
            <v/>
          </cell>
        </row>
        <row r="305">
          <cell r="C305" t="str">
            <v>II.</v>
          </cell>
          <cell r="D305" t="str">
            <v>CASH FLOWS FROM 
INVESTING ACTIVITIES</v>
          </cell>
          <cell r="J305" t="str">
            <v>II.</v>
          </cell>
          <cell r="K305" t="str">
            <v>LƯU CHUYỂN TIỀN TỪ 
HOẠT ĐỘNG ĐẦU TƯ</v>
          </cell>
          <cell r="M305" t="str">
            <v/>
          </cell>
          <cell r="R305" t="str">
            <v>II.</v>
          </cell>
          <cell r="S305" t="str">
            <v>CASH FLOWS FROM 
INVESTING ACTIVITIES</v>
          </cell>
          <cell r="T305" t="str">
            <v/>
          </cell>
          <cell r="U305" t="str">
            <v/>
          </cell>
          <cell r="Y305" t="str">
            <v>II.</v>
          </cell>
          <cell r="Z305" t="str">
            <v>LƯU CHUYỂN TIỀN TỪ 
HOẠT ĐỘNG ĐẦU TƯ</v>
          </cell>
          <cell r="AA305" t="str">
            <v/>
          </cell>
          <cell r="AB305" t="str">
            <v/>
          </cell>
        </row>
        <row r="306">
          <cell r="J306" t="str">
            <v/>
          </cell>
          <cell r="M306" t="str">
            <v/>
          </cell>
          <cell r="R306" t="str">
            <v/>
          </cell>
          <cell r="S306" t="str">
            <v/>
          </cell>
          <cell r="T306" t="str">
            <v/>
          </cell>
          <cell r="U306" t="str">
            <v/>
          </cell>
          <cell r="Y306" t="str">
            <v/>
          </cell>
          <cell r="Z306" t="str">
            <v/>
          </cell>
          <cell r="AA306" t="str">
            <v/>
          </cell>
          <cell r="AB306" t="str">
            <v/>
          </cell>
        </row>
        <row r="307">
          <cell r="D307" t="str">
            <v>▪ Acquisition and construction of fixed
  assets and other long-term assets</v>
          </cell>
          <cell r="E307">
            <v>21</v>
          </cell>
          <cell r="G307">
            <v>0</v>
          </cell>
          <cell r="H307">
            <v>0</v>
          </cell>
          <cell r="J307" t="str">
            <v/>
          </cell>
          <cell r="K307" t="str">
            <v>▪ Tiền chi để mua sắm, xây dựng TSCĐ
   và các TS dài hạn khác</v>
          </cell>
          <cell r="L307">
            <v>21</v>
          </cell>
          <cell r="M307" t="str">
            <v/>
          </cell>
          <cell r="N307">
            <v>0</v>
          </cell>
          <cell r="O307">
            <v>0</v>
          </cell>
          <cell r="R307" t="str">
            <v/>
          </cell>
          <cell r="S307" t="str">
            <v>▪ Acquisition and construction of fixed
  assets and other long-term assets</v>
          </cell>
          <cell r="T307">
            <v>21</v>
          </cell>
          <cell r="U307" t="str">
            <v/>
          </cell>
          <cell r="V307">
            <v>0</v>
          </cell>
          <cell r="W307">
            <v>-186397716</v>
          </cell>
          <cell r="Y307" t="str">
            <v/>
          </cell>
          <cell r="Z307" t="str">
            <v>▪ Tiền chi để mua sắm, xây dựng TSCĐ
   và các TS dài hạn khác</v>
          </cell>
          <cell r="AA307">
            <v>21</v>
          </cell>
          <cell r="AB307" t="str">
            <v/>
          </cell>
          <cell r="AC307">
            <v>0</v>
          </cell>
          <cell r="AD307">
            <v>-186397716</v>
          </cell>
        </row>
        <row r="308">
          <cell r="D308" t="str">
            <v>▪ Proceed from disposals of fixed
  assets and other long-term assets</v>
          </cell>
          <cell r="E308">
            <v>22</v>
          </cell>
          <cell r="G308">
            <v>0</v>
          </cell>
          <cell r="H308">
            <v>0</v>
          </cell>
          <cell r="J308" t="str">
            <v/>
          </cell>
          <cell r="K308" t="str">
            <v>▪ Tiền thu từ thanh lý, nhượng bán
  TSCĐ và các TS dài hạn khác</v>
          </cell>
          <cell r="L308">
            <v>22</v>
          </cell>
          <cell r="M308" t="str">
            <v/>
          </cell>
          <cell r="N308">
            <v>0</v>
          </cell>
          <cell r="O308">
            <v>0</v>
          </cell>
          <cell r="R308" t="str">
            <v/>
          </cell>
          <cell r="S308" t="str">
            <v>▪ Proceed from disposals of fixed
  assets and other long-term assets</v>
          </cell>
          <cell r="T308">
            <v>22</v>
          </cell>
          <cell r="U308" t="str">
            <v/>
          </cell>
          <cell r="V308">
            <v>0</v>
          </cell>
          <cell r="W308">
            <v>7095864</v>
          </cell>
          <cell r="Y308" t="str">
            <v/>
          </cell>
          <cell r="Z308" t="str">
            <v>▪ Tiền thu từ thanh lý, nhượng bán
  TSCĐ và các TS dài hạn khác</v>
          </cell>
          <cell r="AA308">
            <v>22</v>
          </cell>
          <cell r="AB308" t="str">
            <v/>
          </cell>
          <cell r="AC308">
            <v>0</v>
          </cell>
          <cell r="AD308">
            <v>7095864</v>
          </cell>
        </row>
        <row r="309">
          <cell r="D309" t="str">
            <v>▪ Loans to other parties or purchases
  of financial instruments of other entities</v>
          </cell>
          <cell r="E309">
            <v>23</v>
          </cell>
          <cell r="G309">
            <v>0</v>
          </cell>
          <cell r="H309">
            <v>0</v>
          </cell>
          <cell r="J309" t="str">
            <v/>
          </cell>
          <cell r="K309" t="str">
            <v>▪ Tiền chi cho vay, mua
  các công cụ nợ của các đơn vị khác</v>
          </cell>
          <cell r="L309">
            <v>23</v>
          </cell>
          <cell r="M309" t="str">
            <v/>
          </cell>
          <cell r="N309">
            <v>0</v>
          </cell>
          <cell r="O309">
            <v>0</v>
          </cell>
          <cell r="R309" t="str">
            <v/>
          </cell>
          <cell r="S309" t="str">
            <v>▪ Loans to other parties or purchases
  of financial instruments of other entities</v>
          </cell>
          <cell r="T309">
            <v>23</v>
          </cell>
          <cell r="U309" t="str">
            <v/>
          </cell>
          <cell r="V309">
            <v>0</v>
          </cell>
          <cell r="W309">
            <v>0</v>
          </cell>
          <cell r="Y309" t="str">
            <v/>
          </cell>
          <cell r="Z309" t="str">
            <v>▪ Tiền chi cho vay, mua
  các công cụ nợ của các đơn vị khác</v>
          </cell>
          <cell r="AA309">
            <v>23</v>
          </cell>
          <cell r="AB309" t="str">
            <v/>
          </cell>
          <cell r="AC309">
            <v>0</v>
          </cell>
          <cell r="AD309">
            <v>0</v>
          </cell>
        </row>
        <row r="310">
          <cell r="D310" t="str">
            <v>▪ Cash inflows from loan collection,
  selling debt instruments of other entities</v>
          </cell>
          <cell r="E310">
            <v>24</v>
          </cell>
          <cell r="G310">
            <v>0</v>
          </cell>
          <cell r="H310">
            <v>0</v>
          </cell>
          <cell r="J310" t="str">
            <v/>
          </cell>
          <cell r="K310" t="str">
            <v>▪ Tiền thu hồi cho vay, bán lại
  các công cụ nợ của các đơn vị khác</v>
          </cell>
          <cell r="L310">
            <v>24</v>
          </cell>
          <cell r="M310" t="str">
            <v/>
          </cell>
          <cell r="N310">
            <v>0</v>
          </cell>
          <cell r="O310">
            <v>0</v>
          </cell>
          <cell r="R310" t="str">
            <v/>
          </cell>
          <cell r="S310" t="str">
            <v>▪ Cash inflows from loan collection,
  selling debt instruments of other entities</v>
          </cell>
          <cell r="T310">
            <v>24</v>
          </cell>
          <cell r="U310" t="str">
            <v/>
          </cell>
          <cell r="V310">
            <v>0</v>
          </cell>
          <cell r="W310">
            <v>0</v>
          </cell>
          <cell r="Y310" t="str">
            <v/>
          </cell>
          <cell r="Z310" t="str">
            <v>▪ Tiền thu hồi cho vay, bán lại
  các công cụ nợ của các đơn vị khác</v>
          </cell>
          <cell r="AA310">
            <v>24</v>
          </cell>
          <cell r="AB310" t="str">
            <v/>
          </cell>
          <cell r="AC310">
            <v>0</v>
          </cell>
          <cell r="AD310">
            <v>0</v>
          </cell>
        </row>
        <row r="311">
          <cell r="D311" t="str">
            <v>▪ Cash outflows for investments in
  other entities</v>
          </cell>
          <cell r="E311">
            <v>25</v>
          </cell>
          <cell r="G311">
            <v>0</v>
          </cell>
          <cell r="H311">
            <v>0</v>
          </cell>
          <cell r="J311" t="str">
            <v/>
          </cell>
          <cell r="K311" t="str">
            <v>▪ Tiền chi đầu tư, góp vốn
  vào các đơn vị khác</v>
          </cell>
          <cell r="L311">
            <v>25</v>
          </cell>
          <cell r="M311" t="str">
            <v/>
          </cell>
          <cell r="N311">
            <v>0</v>
          </cell>
          <cell r="O311">
            <v>0</v>
          </cell>
          <cell r="R311" t="str">
            <v/>
          </cell>
          <cell r="S311" t="str">
            <v>▪ Cash outflows for investments in
  other entities</v>
          </cell>
          <cell r="T311">
            <v>25</v>
          </cell>
          <cell r="U311" t="str">
            <v/>
          </cell>
          <cell r="V311">
            <v>0</v>
          </cell>
          <cell r="W311">
            <v>0</v>
          </cell>
          <cell r="Y311" t="str">
            <v/>
          </cell>
          <cell r="Z311" t="str">
            <v>▪ Tiền chi đầu tư, góp vốn
  vào các đơn vị khác</v>
          </cell>
          <cell r="AA311">
            <v>25</v>
          </cell>
          <cell r="AB311" t="str">
            <v/>
          </cell>
          <cell r="AC311">
            <v>0</v>
          </cell>
          <cell r="AD311">
            <v>0</v>
          </cell>
        </row>
        <row r="312">
          <cell r="D312" t="str">
            <v>▪ Cash inflows from withdrawal of
  investments in other entities</v>
          </cell>
          <cell r="E312">
            <v>26</v>
          </cell>
          <cell r="G312">
            <v>0</v>
          </cell>
          <cell r="H312">
            <v>0</v>
          </cell>
          <cell r="J312" t="str">
            <v/>
          </cell>
          <cell r="K312" t="str">
            <v>▪ Tiền thu hồi đầu tư, góp vốn vào
  các đơn vị khác</v>
          </cell>
          <cell r="L312">
            <v>26</v>
          </cell>
          <cell r="M312" t="str">
            <v/>
          </cell>
          <cell r="N312">
            <v>0</v>
          </cell>
          <cell r="O312">
            <v>0</v>
          </cell>
          <cell r="R312" t="str">
            <v/>
          </cell>
          <cell r="S312" t="str">
            <v>▪ Cash inflows from withdrawal of
  investments in other entities</v>
          </cell>
          <cell r="T312">
            <v>26</v>
          </cell>
          <cell r="U312" t="str">
            <v/>
          </cell>
          <cell r="V312">
            <v>0</v>
          </cell>
          <cell r="W312">
            <v>0</v>
          </cell>
          <cell r="Y312" t="str">
            <v/>
          </cell>
          <cell r="Z312" t="str">
            <v>▪ Tiền thu hồi đầu tư, góp vốn vào
  các đơn vị khác</v>
          </cell>
          <cell r="AA312">
            <v>26</v>
          </cell>
          <cell r="AB312" t="str">
            <v/>
          </cell>
          <cell r="AC312">
            <v>0</v>
          </cell>
          <cell r="AD312">
            <v>0</v>
          </cell>
        </row>
        <row r="313">
          <cell r="D313" t="str">
            <v>▪ Interest income, dividends and
  profit received</v>
          </cell>
          <cell r="E313">
            <v>27</v>
          </cell>
          <cell r="F313" t="str">
            <v>23</v>
          </cell>
          <cell r="G313">
            <v>0</v>
          </cell>
          <cell r="H313">
            <v>0</v>
          </cell>
          <cell r="J313" t="str">
            <v/>
          </cell>
          <cell r="K313" t="str">
            <v>▪ Tiền thu lãi cho vay, cổ tức và
   lợi nhuận được chia</v>
          </cell>
          <cell r="L313">
            <v>27</v>
          </cell>
          <cell r="M313" t="str">
            <v>23</v>
          </cell>
          <cell r="N313">
            <v>0</v>
          </cell>
          <cell r="O313">
            <v>0</v>
          </cell>
          <cell r="R313" t="str">
            <v/>
          </cell>
          <cell r="S313" t="str">
            <v>▪ Interest income, dividends and
  profit received</v>
          </cell>
          <cell r="T313">
            <v>27</v>
          </cell>
          <cell r="U313" t="str">
            <v>23</v>
          </cell>
          <cell r="V313">
            <v>0</v>
          </cell>
          <cell r="W313">
            <v>147925</v>
          </cell>
          <cell r="Y313" t="str">
            <v/>
          </cell>
          <cell r="Z313" t="str">
            <v>▪ Tiền thu lãi cho vay, cổ tức và
   lợi nhuận được chia</v>
          </cell>
          <cell r="AA313">
            <v>27</v>
          </cell>
          <cell r="AB313" t="str">
            <v>23</v>
          </cell>
          <cell r="AC313">
            <v>0</v>
          </cell>
          <cell r="AD313">
            <v>147925</v>
          </cell>
        </row>
        <row r="314">
          <cell r="M314" t="str">
            <v/>
          </cell>
          <cell r="R314" t="str">
            <v/>
          </cell>
          <cell r="S314" t="str">
            <v/>
          </cell>
          <cell r="T314" t="str">
            <v/>
          </cell>
          <cell r="U314" t="str">
            <v/>
          </cell>
          <cell r="Y314" t="str">
            <v/>
          </cell>
          <cell r="Z314" t="str">
            <v/>
          </cell>
          <cell r="AA314" t="str">
            <v/>
          </cell>
          <cell r="AB314" t="str">
            <v/>
          </cell>
        </row>
        <row r="315">
          <cell r="D315" t="str">
            <v>Net cash flows from investing
activities</v>
          </cell>
          <cell r="E315">
            <v>30</v>
          </cell>
          <cell r="G315">
            <v>0</v>
          </cell>
          <cell r="H315">
            <v>0</v>
          </cell>
          <cell r="J315" t="str">
            <v/>
          </cell>
          <cell r="K315" t="str">
            <v>Lưu chuyển tiền thuần từ
hoạt động đầu tư</v>
          </cell>
          <cell r="L315">
            <v>30</v>
          </cell>
          <cell r="M315" t="str">
            <v/>
          </cell>
          <cell r="N315">
            <v>0</v>
          </cell>
          <cell r="O315">
            <v>0</v>
          </cell>
          <cell r="R315" t="str">
            <v/>
          </cell>
          <cell r="S315" t="str">
            <v>Net cash flows from investing
activities</v>
          </cell>
          <cell r="T315">
            <v>30</v>
          </cell>
          <cell r="U315" t="str">
            <v/>
          </cell>
          <cell r="V315">
            <v>0</v>
          </cell>
          <cell r="W315">
            <v>-179153927</v>
          </cell>
          <cell r="Y315" t="str">
            <v/>
          </cell>
          <cell r="Z315" t="str">
            <v>Lưu chuyển tiền thuần từ
hoạt động đầu tư</v>
          </cell>
          <cell r="AA315">
            <v>30</v>
          </cell>
          <cell r="AB315" t="str">
            <v/>
          </cell>
          <cell r="AC315">
            <v>0</v>
          </cell>
          <cell r="AD315">
            <v>-179153927</v>
          </cell>
        </row>
        <row r="316">
          <cell r="J316" t="str">
            <v/>
          </cell>
          <cell r="M316" t="str">
            <v/>
          </cell>
          <cell r="R316" t="str">
            <v/>
          </cell>
          <cell r="S316" t="str">
            <v/>
          </cell>
          <cell r="T316" t="str">
            <v/>
          </cell>
          <cell r="U316" t="str">
            <v/>
          </cell>
          <cell r="Y316" t="str">
            <v/>
          </cell>
          <cell r="Z316" t="str">
            <v/>
          </cell>
          <cell r="AA316" t="str">
            <v/>
          </cell>
          <cell r="AB316" t="str">
            <v/>
          </cell>
        </row>
        <row r="317">
          <cell r="J317" t="str">
            <v/>
          </cell>
          <cell r="R317" t="str">
            <v/>
          </cell>
          <cell r="S317" t="str">
            <v/>
          </cell>
          <cell r="T317" t="str">
            <v/>
          </cell>
          <cell r="U317" t="str">
            <v/>
          </cell>
          <cell r="Y317" t="str">
            <v/>
          </cell>
          <cell r="Z317" t="str">
            <v/>
          </cell>
          <cell r="AA317" t="str">
            <v/>
          </cell>
          <cell r="AB317" t="str">
            <v/>
          </cell>
        </row>
        <row r="319">
          <cell r="C319" t="str">
            <v>Crowe Vietnam Master Binder Template v1.1</v>
          </cell>
          <cell r="H319" t="str">
            <v>B03-DN</v>
          </cell>
          <cell r="J319" t="str">
            <v>Crowe Vietnam Master Binder Template v1.1</v>
          </cell>
          <cell r="O319" t="str">
            <v>B03-DN</v>
          </cell>
          <cell r="R319" t="str">
            <v>Crowe Vietnam Master Binder Template v1.1</v>
          </cell>
          <cell r="W319" t="str">
            <v>B03-DN</v>
          </cell>
          <cell r="Y319" t="str">
            <v>Crowe Vietnam Master Binder Template v1.1</v>
          </cell>
          <cell r="AD319" t="str">
            <v>B03-DN</v>
          </cell>
        </row>
        <row r="320">
          <cell r="H320" t="str">
            <v>(Issued in accordance with Circular No. 200/2014/TT-BTC</v>
          </cell>
          <cell r="O320" t="str">
            <v>(Ban hành theo Thông tư số 200/2014/TT-BTC</v>
          </cell>
          <cell r="W320" t="str">
            <v>(Issued in accordance with Circular No. 200/2014/TT-BTC</v>
          </cell>
          <cell r="AD320" t="str">
            <v>(Ban hành theo Thông tư số 200/2014/TT-BTC</v>
          </cell>
        </row>
        <row r="321">
          <cell r="H321" t="str">
            <v>dated 22 December 2014 of the Ministry of Finance)</v>
          </cell>
          <cell r="O321" t="str">
            <v>ngày 22 tháng 12 năm 2014 của Bộ Tài chính)</v>
          </cell>
          <cell r="W321" t="str">
            <v>dated 22 December 2014 of the Ministry of Finance)</v>
          </cell>
          <cell r="AD321" t="str">
            <v>ngày 22 tháng 12 năm 2014 của Bộ Tài chính)</v>
          </cell>
        </row>
        <row r="323">
          <cell r="C323" t="str">
            <v>STATEMENT OF CASH FLOWS (indirect method - continued)</v>
          </cell>
          <cell r="J323" t="str">
            <v>BÁO CÁO LƯU CHUYỂN TIỀN TỆ (phương pháp gián tiếp - tiếp theo)</v>
          </cell>
          <cell r="R323" t="str">
            <v>STATEMENT OF CASH FLOWS (indirect method - continued)</v>
          </cell>
          <cell r="Y323" t="str">
            <v>BÁO CÁO LƯU CHUYỂN TIỀN TỆ (phương pháp gián tiếp - tiếp theo)</v>
          </cell>
        </row>
        <row r="324">
          <cell r="C324" t="str">
            <v>for the year ended 31 December 2023</v>
          </cell>
          <cell r="J324" t="str">
            <v>cho năm kết thúc ngày 31 tháng 12 năm 2023</v>
          </cell>
          <cell r="R324" t="str">
            <v>for the year ended 31 December 2023</v>
          </cell>
          <cell r="Y324" t="str">
            <v>cho năm kết thúc ngày 31 tháng 12 năm 2023</v>
          </cell>
        </row>
        <row r="325">
          <cell r="C325" t="str">
            <v>Unit: VND</v>
          </cell>
          <cell r="J325" t="str">
            <v>Đơn vị: VND</v>
          </cell>
          <cell r="R325" t="str">
            <v>Unit: VND 1,000</v>
          </cell>
          <cell r="Y325" t="str">
            <v>Đơn vị: 1.000 VND</v>
          </cell>
        </row>
        <row r="326">
          <cell r="C326" t="str">
            <v>(The accompanying Notes are an integral part of these Financial Statements)</v>
          </cell>
          <cell r="J326" t="str">
            <v>(Các Thuyết minh đính kèm là một phần không thể tách rời của các Báo cáo Tài chính này)</v>
          </cell>
          <cell r="R326" t="str">
            <v>(The accompanying Notes are an integral part of these Financial Statements)</v>
          </cell>
          <cell r="Y326" t="str">
            <v>(Các Thuyết minh đính kèm là một phần không thể tách rời của các Báo cáo Tài chính này)</v>
          </cell>
        </row>
        <row r="327">
          <cell r="J327" t="str">
            <v/>
          </cell>
          <cell r="R327" t="str">
            <v/>
          </cell>
          <cell r="S327" t="str">
            <v/>
          </cell>
          <cell r="T327" t="str">
            <v/>
          </cell>
          <cell r="U327" t="str">
            <v/>
          </cell>
          <cell r="Y327" t="str">
            <v/>
          </cell>
          <cell r="Z327" t="str">
            <v/>
          </cell>
          <cell r="AA327" t="str">
            <v/>
          </cell>
          <cell r="AB327" t="str">
            <v/>
          </cell>
        </row>
        <row r="328">
          <cell r="D328" t="str">
            <v>Items</v>
          </cell>
          <cell r="E328" t="str">
            <v>Code</v>
          </cell>
          <cell r="F328" t="str">
            <v>Notes</v>
          </cell>
          <cell r="G328" t="str">
            <v>Current year</v>
          </cell>
          <cell r="H328" t="str">
            <v>Previous year</v>
          </cell>
          <cell r="J328" t="str">
            <v/>
          </cell>
          <cell r="K328" t="str">
            <v>Chỉ tiêu</v>
          </cell>
          <cell r="L328" t="str">
            <v>Mã số</v>
          </cell>
          <cell r="M328" t="str">
            <v>TM</v>
          </cell>
          <cell r="N328" t="str">
            <v>Năm nay</v>
          </cell>
          <cell r="O328" t="str">
            <v>Năm trước</v>
          </cell>
          <cell r="R328" t="str">
            <v/>
          </cell>
          <cell r="S328" t="str">
            <v>Items</v>
          </cell>
          <cell r="T328" t="str">
            <v>Code</v>
          </cell>
          <cell r="U328" t="str">
            <v>Notes</v>
          </cell>
          <cell r="V328" t="str">
            <v>Current year</v>
          </cell>
          <cell r="W328" t="str">
            <v>Previous year</v>
          </cell>
          <cell r="Y328" t="str">
            <v/>
          </cell>
          <cell r="Z328" t="str">
            <v>Chỉ tiêu</v>
          </cell>
          <cell r="AA328" t="str">
            <v>Mã số</v>
          </cell>
          <cell r="AB328" t="str">
            <v>TM</v>
          </cell>
          <cell r="AC328" t="str">
            <v>Năm nay</v>
          </cell>
          <cell r="AD328" t="str">
            <v>Năm trước</v>
          </cell>
        </row>
        <row r="329">
          <cell r="J329" t="str">
            <v/>
          </cell>
          <cell r="M329" t="str">
            <v/>
          </cell>
          <cell r="R329" t="str">
            <v/>
          </cell>
          <cell r="S329" t="str">
            <v/>
          </cell>
          <cell r="T329" t="str">
            <v/>
          </cell>
          <cell r="U329" t="str">
            <v/>
          </cell>
          <cell r="Y329" t="str">
            <v/>
          </cell>
          <cell r="Z329" t="str">
            <v/>
          </cell>
          <cell r="AA329" t="str">
            <v/>
          </cell>
          <cell r="AB329" t="str">
            <v/>
          </cell>
        </row>
        <row r="330">
          <cell r="C330" t="str">
            <v>III.</v>
          </cell>
          <cell r="D330" t="str">
            <v>CASH FLOWS FROM 
FINANCING ACTIVITIES</v>
          </cell>
          <cell r="J330" t="str">
            <v>III.</v>
          </cell>
          <cell r="K330" t="str">
            <v>LƯU CHUYỂN TIỀN TỪ 
HOẠT ĐỘNG TÀI CHÍNH</v>
          </cell>
          <cell r="M330" t="str">
            <v/>
          </cell>
          <cell r="R330" t="str">
            <v>III.</v>
          </cell>
          <cell r="S330" t="str">
            <v>CASH FLOWS FROM 
FINANCING ACTIVITIES</v>
          </cell>
          <cell r="T330" t="str">
            <v/>
          </cell>
          <cell r="U330" t="str">
            <v/>
          </cell>
          <cell r="Y330" t="str">
            <v>III.</v>
          </cell>
          <cell r="Z330" t="str">
            <v>LƯU CHUYỂN TIỀN TỪ 
HOẠT ĐỘNG TÀI CHÍNH</v>
          </cell>
          <cell r="AA330" t="str">
            <v/>
          </cell>
          <cell r="AB330" t="str">
            <v/>
          </cell>
        </row>
        <row r="331">
          <cell r="J331" t="str">
            <v/>
          </cell>
          <cell r="M331" t="str">
            <v/>
          </cell>
          <cell r="R331" t="str">
            <v/>
          </cell>
          <cell r="S331" t="str">
            <v/>
          </cell>
          <cell r="T331" t="str">
            <v/>
          </cell>
          <cell r="U331" t="str">
            <v/>
          </cell>
          <cell r="Y331" t="str">
            <v/>
          </cell>
          <cell r="Z331" t="str">
            <v/>
          </cell>
          <cell r="AA331" t="str">
            <v/>
          </cell>
          <cell r="AB331" t="str">
            <v/>
          </cell>
        </row>
        <row r="332">
          <cell r="D332" t="str">
            <v>▪ Owners' equity contributed</v>
          </cell>
          <cell r="E332">
            <v>31</v>
          </cell>
          <cell r="G332">
            <v>0</v>
          </cell>
          <cell r="H332">
            <v>0</v>
          </cell>
          <cell r="J332" t="str">
            <v/>
          </cell>
          <cell r="K332" t="str">
            <v>▪ Vốn góp của chủ sở hữu</v>
          </cell>
          <cell r="L332">
            <v>31</v>
          </cell>
          <cell r="M332" t="str">
            <v/>
          </cell>
          <cell r="N332">
            <v>0</v>
          </cell>
          <cell r="O332">
            <v>0</v>
          </cell>
          <cell r="R332" t="str">
            <v/>
          </cell>
          <cell r="S332" t="str">
            <v>▪ Owners' equity contributed</v>
          </cell>
          <cell r="T332">
            <v>31</v>
          </cell>
          <cell r="U332" t="str">
            <v/>
          </cell>
          <cell r="V332">
            <v>0</v>
          </cell>
          <cell r="W332">
            <v>0</v>
          </cell>
          <cell r="Y332" t="str">
            <v/>
          </cell>
          <cell r="Z332" t="str">
            <v>▪ Vốn góp của chủ sở hữu</v>
          </cell>
          <cell r="AA332">
            <v>31</v>
          </cell>
          <cell r="AB332" t="str">
            <v/>
          </cell>
          <cell r="AC332">
            <v>0</v>
          </cell>
          <cell r="AD332">
            <v>0</v>
          </cell>
        </row>
        <row r="333">
          <cell r="D333" t="str">
            <v>▪ Withdrawal of owners' equity</v>
          </cell>
          <cell r="E333">
            <v>32</v>
          </cell>
          <cell r="G333">
            <v>0</v>
          </cell>
          <cell r="H333">
            <v>0</v>
          </cell>
          <cell r="J333" t="str">
            <v/>
          </cell>
          <cell r="K333" t="str">
            <v>▪ Tiền chi trả vốn góp cho các CSH</v>
          </cell>
          <cell r="L333">
            <v>32</v>
          </cell>
          <cell r="M333" t="str">
            <v/>
          </cell>
          <cell r="N333">
            <v>0</v>
          </cell>
          <cell r="O333">
            <v>0</v>
          </cell>
          <cell r="R333" t="str">
            <v/>
          </cell>
          <cell r="S333" t="str">
            <v>▪ Withdrawal of owners' equity</v>
          </cell>
          <cell r="T333">
            <v>32</v>
          </cell>
          <cell r="U333" t="str">
            <v/>
          </cell>
          <cell r="V333">
            <v>0</v>
          </cell>
          <cell r="W333">
            <v>0</v>
          </cell>
          <cell r="Y333" t="str">
            <v/>
          </cell>
          <cell r="Z333" t="str">
            <v>▪ Tiền chi trả vốn góp cho các CSH</v>
          </cell>
          <cell r="AA333">
            <v>32</v>
          </cell>
          <cell r="AB333" t="str">
            <v/>
          </cell>
          <cell r="AC333">
            <v>0</v>
          </cell>
          <cell r="AD333">
            <v>0</v>
          </cell>
        </row>
        <row r="334">
          <cell r="D334" t="str">
            <v>▪ Cash from loans</v>
          </cell>
          <cell r="E334">
            <v>33</v>
          </cell>
          <cell r="G334">
            <v>0</v>
          </cell>
          <cell r="H334">
            <v>0</v>
          </cell>
          <cell r="J334" t="str">
            <v/>
          </cell>
          <cell r="K334" t="str">
            <v>▪ Tiền thu từ đi vay</v>
          </cell>
          <cell r="L334">
            <v>33</v>
          </cell>
          <cell r="M334" t="str">
            <v/>
          </cell>
          <cell r="N334">
            <v>0</v>
          </cell>
          <cell r="O334">
            <v>0</v>
          </cell>
          <cell r="R334" t="str">
            <v/>
          </cell>
          <cell r="S334" t="str">
            <v>▪ Cash from loans</v>
          </cell>
          <cell r="T334">
            <v>33</v>
          </cell>
          <cell r="U334" t="str">
            <v/>
          </cell>
          <cell r="V334">
            <v>0</v>
          </cell>
          <cell r="W334">
            <v>289721424</v>
          </cell>
          <cell r="Y334" t="str">
            <v/>
          </cell>
          <cell r="Z334" t="str">
            <v>▪ Tiền thu từ đi vay</v>
          </cell>
          <cell r="AA334">
            <v>33</v>
          </cell>
          <cell r="AB334" t="str">
            <v/>
          </cell>
          <cell r="AC334">
            <v>0</v>
          </cell>
          <cell r="AD334">
            <v>289721424</v>
          </cell>
        </row>
        <row r="335">
          <cell r="D335" t="str">
            <v>▪ Repayments of loan principals</v>
          </cell>
          <cell r="E335">
            <v>34</v>
          </cell>
          <cell r="G335">
            <v>0</v>
          </cell>
          <cell r="H335">
            <v>0</v>
          </cell>
          <cell r="J335" t="str">
            <v/>
          </cell>
          <cell r="K335" t="str">
            <v>▪ Tiền chi trả nợ gốc vay</v>
          </cell>
          <cell r="L335">
            <v>34</v>
          </cell>
          <cell r="M335" t="str">
            <v/>
          </cell>
          <cell r="N335">
            <v>0</v>
          </cell>
          <cell r="O335">
            <v>0</v>
          </cell>
          <cell r="R335" t="str">
            <v/>
          </cell>
          <cell r="S335" t="str">
            <v>▪ Repayments of loan principals</v>
          </cell>
          <cell r="T335">
            <v>34</v>
          </cell>
          <cell r="U335" t="str">
            <v/>
          </cell>
          <cell r="V335">
            <v>0</v>
          </cell>
          <cell r="W335">
            <v>-812689720</v>
          </cell>
          <cell r="Y335" t="str">
            <v/>
          </cell>
          <cell r="Z335" t="str">
            <v>▪ Tiền chi trả nợ gốc vay</v>
          </cell>
          <cell r="AA335">
            <v>34</v>
          </cell>
          <cell r="AB335" t="str">
            <v/>
          </cell>
          <cell r="AC335">
            <v>0</v>
          </cell>
          <cell r="AD335">
            <v>-812689720</v>
          </cell>
        </row>
        <row r="336">
          <cell r="D336" t="str">
            <v>▪ Payments of finance leases principals</v>
          </cell>
          <cell r="E336">
            <v>35</v>
          </cell>
          <cell r="G336">
            <v>0</v>
          </cell>
          <cell r="H336">
            <v>0</v>
          </cell>
          <cell r="J336" t="str">
            <v/>
          </cell>
          <cell r="K336" t="str">
            <v>▪ Tiền chi trả nợ gốc thuê tài chính</v>
          </cell>
          <cell r="L336">
            <v>35</v>
          </cell>
          <cell r="M336" t="str">
            <v/>
          </cell>
          <cell r="N336">
            <v>0</v>
          </cell>
          <cell r="O336">
            <v>0</v>
          </cell>
          <cell r="R336" t="str">
            <v/>
          </cell>
          <cell r="S336" t="str">
            <v>▪ Payments of finance leases principals</v>
          </cell>
          <cell r="T336">
            <v>35</v>
          </cell>
          <cell r="U336" t="str">
            <v/>
          </cell>
          <cell r="V336">
            <v>0</v>
          </cell>
          <cell r="W336">
            <v>0</v>
          </cell>
          <cell r="Y336" t="str">
            <v/>
          </cell>
          <cell r="Z336" t="str">
            <v>▪ Tiền chi trả nợ gốc thuê tài chính</v>
          </cell>
          <cell r="AA336">
            <v>35</v>
          </cell>
          <cell r="AB336" t="str">
            <v/>
          </cell>
          <cell r="AC336">
            <v>0</v>
          </cell>
          <cell r="AD336">
            <v>0</v>
          </cell>
        </row>
        <row r="337">
          <cell r="D337" t="str">
            <v>▪ Dividends, profit paid to owners</v>
          </cell>
          <cell r="E337">
            <v>36</v>
          </cell>
          <cell r="G337">
            <v>0</v>
          </cell>
          <cell r="H337">
            <v>0</v>
          </cell>
          <cell r="J337" t="str">
            <v/>
          </cell>
          <cell r="K337" t="str">
            <v>▪ Cổ tức, lợi nhuận đã trả cho CSH</v>
          </cell>
          <cell r="L337">
            <v>36</v>
          </cell>
          <cell r="M337" t="str">
            <v/>
          </cell>
          <cell r="N337">
            <v>0</v>
          </cell>
          <cell r="O337">
            <v>0</v>
          </cell>
          <cell r="R337" t="str">
            <v/>
          </cell>
          <cell r="S337" t="str">
            <v>▪ Dividends, profit paid to owners</v>
          </cell>
          <cell r="T337">
            <v>36</v>
          </cell>
          <cell r="U337" t="str">
            <v/>
          </cell>
          <cell r="V337">
            <v>0</v>
          </cell>
          <cell r="W337">
            <v>0</v>
          </cell>
          <cell r="Y337" t="str">
            <v/>
          </cell>
          <cell r="Z337" t="str">
            <v>▪ Cổ tức, lợi nhuận đã trả cho CSH</v>
          </cell>
          <cell r="AA337">
            <v>36</v>
          </cell>
          <cell r="AB337" t="str">
            <v/>
          </cell>
          <cell r="AC337">
            <v>0</v>
          </cell>
          <cell r="AD337">
            <v>0</v>
          </cell>
        </row>
        <row r="338">
          <cell r="J338" t="str">
            <v/>
          </cell>
          <cell r="M338" t="str">
            <v/>
          </cell>
          <cell r="R338" t="str">
            <v/>
          </cell>
          <cell r="S338" t="str">
            <v/>
          </cell>
          <cell r="T338" t="str">
            <v/>
          </cell>
          <cell r="U338" t="str">
            <v/>
          </cell>
          <cell r="Y338" t="str">
            <v/>
          </cell>
          <cell r="Z338" t="str">
            <v/>
          </cell>
          <cell r="AA338" t="str">
            <v/>
          </cell>
          <cell r="AB338" t="str">
            <v/>
          </cell>
        </row>
        <row r="339">
          <cell r="D339" t="str">
            <v>Net cash flows from financing
activities</v>
          </cell>
          <cell r="E339">
            <v>40</v>
          </cell>
          <cell r="G339">
            <v>0</v>
          </cell>
          <cell r="H339">
            <v>0</v>
          </cell>
          <cell r="J339" t="str">
            <v/>
          </cell>
          <cell r="K339" t="str">
            <v>Lưu chuyển tiền thuần từ
hoạt động tài chính</v>
          </cell>
          <cell r="L339">
            <v>40</v>
          </cell>
          <cell r="M339" t="str">
            <v/>
          </cell>
          <cell r="N339">
            <v>0</v>
          </cell>
          <cell r="O339">
            <v>0</v>
          </cell>
          <cell r="R339" t="str">
            <v/>
          </cell>
          <cell r="S339" t="str">
            <v>Net cash flows from financing
activities</v>
          </cell>
          <cell r="T339">
            <v>40</v>
          </cell>
          <cell r="U339" t="str">
            <v/>
          </cell>
          <cell r="V339">
            <v>0</v>
          </cell>
          <cell r="W339">
            <v>-522968296</v>
          </cell>
          <cell r="Y339" t="str">
            <v/>
          </cell>
          <cell r="Z339" t="str">
            <v>Lưu chuyển tiền thuần từ
hoạt động tài chính</v>
          </cell>
          <cell r="AA339">
            <v>40</v>
          </cell>
          <cell r="AB339" t="str">
            <v/>
          </cell>
          <cell r="AC339">
            <v>0</v>
          </cell>
          <cell r="AD339">
            <v>-522968296</v>
          </cell>
        </row>
        <row r="340">
          <cell r="J340" t="str">
            <v/>
          </cell>
          <cell r="M340" t="str">
            <v/>
          </cell>
          <cell r="R340" t="str">
            <v/>
          </cell>
          <cell r="S340" t="str">
            <v/>
          </cell>
          <cell r="T340" t="str">
            <v/>
          </cell>
          <cell r="U340" t="str">
            <v/>
          </cell>
          <cell r="Y340" t="str">
            <v/>
          </cell>
          <cell r="Z340" t="str">
            <v/>
          </cell>
          <cell r="AA340" t="str">
            <v/>
          </cell>
          <cell r="AB340" t="str">
            <v/>
          </cell>
        </row>
        <row r="341">
          <cell r="D341" t="str">
            <v>Net cash flows during the period</v>
          </cell>
          <cell r="E341">
            <v>50</v>
          </cell>
          <cell r="G341">
            <v>-185090134</v>
          </cell>
          <cell r="H341">
            <v>114200966</v>
          </cell>
          <cell r="J341" t="str">
            <v/>
          </cell>
          <cell r="K341" t="str">
            <v>Lưu chuyển tiền thuần trong kỳ</v>
          </cell>
          <cell r="L341">
            <v>50</v>
          </cell>
          <cell r="M341" t="str">
            <v/>
          </cell>
          <cell r="N341">
            <v>-185090134</v>
          </cell>
          <cell r="O341">
            <v>114200966</v>
          </cell>
          <cell r="R341" t="str">
            <v/>
          </cell>
          <cell r="S341" t="str">
            <v>Net cash flows during the period</v>
          </cell>
          <cell r="T341">
            <v>50</v>
          </cell>
          <cell r="U341" t="str">
            <v/>
          </cell>
          <cell r="V341">
            <v>-4134913593</v>
          </cell>
          <cell r="W341">
            <v>2463982174</v>
          </cell>
          <cell r="Y341" t="str">
            <v/>
          </cell>
          <cell r="Z341" t="str">
            <v>Lưu chuyển tiền thuần trong kỳ</v>
          </cell>
          <cell r="AA341">
            <v>50</v>
          </cell>
          <cell r="AB341" t="str">
            <v/>
          </cell>
          <cell r="AC341">
            <v>-4134913593</v>
          </cell>
          <cell r="AD341">
            <v>2463982174</v>
          </cell>
        </row>
        <row r="342">
          <cell r="J342" t="str">
            <v/>
          </cell>
          <cell r="M342" t="str">
            <v/>
          </cell>
          <cell r="R342" t="str">
            <v/>
          </cell>
          <cell r="S342" t="str">
            <v/>
          </cell>
          <cell r="T342" t="str">
            <v/>
          </cell>
          <cell r="U342" t="str">
            <v/>
          </cell>
          <cell r="Y342" t="str">
            <v/>
          </cell>
          <cell r="Z342" t="str">
            <v/>
          </cell>
          <cell r="AA342" t="str">
            <v/>
          </cell>
          <cell r="AB342" t="str">
            <v/>
          </cell>
        </row>
        <row r="343">
          <cell r="D343" t="str">
            <v>Cash and cash equivalents at the  
beginning of year</v>
          </cell>
          <cell r="E343">
            <v>60</v>
          </cell>
          <cell r="F343">
            <v>5</v>
          </cell>
          <cell r="G343">
            <v>114200999</v>
          </cell>
          <cell r="H343">
            <v>16</v>
          </cell>
          <cell r="J343" t="str">
            <v/>
          </cell>
          <cell r="K343" t="str">
            <v>Tiền và các khoản tương đương
tiền đầu năm</v>
          </cell>
          <cell r="L343">
            <v>60</v>
          </cell>
          <cell r="M343">
            <v>5</v>
          </cell>
          <cell r="N343">
            <v>114200999</v>
          </cell>
          <cell r="O343">
            <v>16</v>
          </cell>
          <cell r="R343" t="str">
            <v/>
          </cell>
          <cell r="S343" t="str">
            <v>Cash and cash equivalents at the  
beginning of year</v>
          </cell>
          <cell r="T343">
            <v>60</v>
          </cell>
          <cell r="U343">
            <v>5</v>
          </cell>
          <cell r="V343">
            <v>2562670418</v>
          </cell>
          <cell r="W343">
            <v>293121238</v>
          </cell>
          <cell r="Y343" t="str">
            <v/>
          </cell>
          <cell r="Z343" t="str">
            <v>Tiền và các khoản tương đương
tiền đầu năm</v>
          </cell>
          <cell r="AA343">
            <v>60</v>
          </cell>
          <cell r="AB343">
            <v>5</v>
          </cell>
          <cell r="AC343">
            <v>2562670418</v>
          </cell>
          <cell r="AD343">
            <v>293121238</v>
          </cell>
        </row>
        <row r="344">
          <cell r="J344" t="str">
            <v/>
          </cell>
          <cell r="M344" t="str">
            <v/>
          </cell>
          <cell r="R344" t="str">
            <v/>
          </cell>
          <cell r="S344" t="str">
            <v/>
          </cell>
          <cell r="T344" t="str">
            <v/>
          </cell>
          <cell r="U344" t="str">
            <v/>
          </cell>
          <cell r="Y344" t="str">
            <v/>
          </cell>
          <cell r="Z344" t="str">
            <v/>
          </cell>
          <cell r="AA344" t="str">
            <v/>
          </cell>
          <cell r="AB344" t="str">
            <v/>
          </cell>
        </row>
        <row r="345">
          <cell r="D345" t="str">
            <v>▪ Impacts of foreign exchange
  difference</v>
          </cell>
          <cell r="E345">
            <v>61</v>
          </cell>
          <cell r="G345">
            <v>0</v>
          </cell>
          <cell r="H345">
            <v>17</v>
          </cell>
          <cell r="J345" t="str">
            <v/>
          </cell>
          <cell r="K345" t="str">
            <v>▪ Ảnh hưởng của thay đổi tỷ giá hối đoái
  quy đổi ngoại tệ</v>
          </cell>
          <cell r="L345">
            <v>61</v>
          </cell>
          <cell r="M345" t="str">
            <v/>
          </cell>
          <cell r="N345">
            <v>0</v>
          </cell>
          <cell r="O345">
            <v>17</v>
          </cell>
          <cell r="R345" t="str">
            <v/>
          </cell>
          <cell r="S345" t="str">
            <v>▪ Impacts of foreign exchange
  difference</v>
          </cell>
          <cell r="T345">
            <v>61</v>
          </cell>
          <cell r="U345" t="str">
            <v/>
          </cell>
          <cell r="V345">
            <v>-40484646</v>
          </cell>
          <cell r="W345">
            <v>-194432994</v>
          </cell>
          <cell r="Y345" t="str">
            <v/>
          </cell>
          <cell r="Z345" t="str">
            <v>▪ Ảnh hưởng của thay đổi tỷ giá hối đoái
  quy đổi ngoại tệ</v>
          </cell>
          <cell r="AA345">
            <v>61</v>
          </cell>
          <cell r="AB345" t="str">
            <v/>
          </cell>
          <cell r="AC345">
            <v>-40484646</v>
          </cell>
          <cell r="AD345">
            <v>-194432994</v>
          </cell>
        </row>
        <row r="346">
          <cell r="J346" t="str">
            <v/>
          </cell>
          <cell r="M346" t="str">
            <v/>
          </cell>
          <cell r="R346" t="str">
            <v/>
          </cell>
          <cell r="S346" t="str">
            <v/>
          </cell>
          <cell r="T346" t="str">
            <v/>
          </cell>
          <cell r="U346" t="str">
            <v/>
          </cell>
          <cell r="Y346" t="str">
            <v/>
          </cell>
          <cell r="Z346" t="str">
            <v/>
          </cell>
          <cell r="AA346" t="str">
            <v/>
          </cell>
          <cell r="AB346" t="str">
            <v/>
          </cell>
        </row>
        <row r="347">
          <cell r="D347" t="str">
            <v>Cash and cash equivalents at 
the end of year</v>
          </cell>
          <cell r="E347">
            <v>70</v>
          </cell>
          <cell r="F347">
            <v>5</v>
          </cell>
          <cell r="G347">
            <v>-70889135</v>
          </cell>
          <cell r="H347">
            <v>114200999</v>
          </cell>
          <cell r="J347" t="str">
            <v/>
          </cell>
          <cell r="K347" t="str">
            <v>Tiền và các khoản tương đương
tiền cuối năm</v>
          </cell>
          <cell r="L347">
            <v>70</v>
          </cell>
          <cell r="M347">
            <v>5</v>
          </cell>
          <cell r="N347">
            <v>-70889135</v>
          </cell>
          <cell r="O347">
            <v>114200999</v>
          </cell>
          <cell r="R347" t="str">
            <v/>
          </cell>
          <cell r="S347" t="str">
            <v>Cash and cash equivalents at 
the end of year</v>
          </cell>
          <cell r="T347">
            <v>70</v>
          </cell>
          <cell r="U347">
            <v>5</v>
          </cell>
          <cell r="V347">
            <v>-1612727821</v>
          </cell>
          <cell r="W347">
            <v>2562670418</v>
          </cell>
          <cell r="Y347" t="str">
            <v/>
          </cell>
          <cell r="Z347" t="str">
            <v>Tiền và các khoản tương đương
tiền cuối năm</v>
          </cell>
          <cell r="AA347">
            <v>70</v>
          </cell>
          <cell r="AB347">
            <v>5</v>
          </cell>
          <cell r="AC347">
            <v>-1612727821</v>
          </cell>
          <cell r="AD347">
            <v>2562670418</v>
          </cell>
        </row>
        <row r="348">
          <cell r="J348" t="str">
            <v/>
          </cell>
          <cell r="Y348" t="str">
            <v/>
          </cell>
        </row>
        <row r="363">
          <cell r="C363" t="str">
            <v>Vo Thi Nguyen Linh</v>
          </cell>
          <cell r="E363" t="str">
            <v>Vo Thi Nguyen Linh</v>
          </cell>
          <cell r="H363" t="str">
            <v>Kutagi</v>
          </cell>
          <cell r="J363" t="str">
            <v>Võ Thị Nguyên Linh</v>
          </cell>
          <cell r="L363" t="str">
            <v>Võ Thị Nguyên Linh</v>
          </cell>
          <cell r="O363" t="str">
            <v>Kutagi</v>
          </cell>
          <cell r="R363" t="str">
            <v>Vo Thi Nguyen Linh</v>
          </cell>
          <cell r="T363" t="str">
            <v>Vo Thi Nguyen Linh</v>
          </cell>
          <cell r="W363" t="str">
            <v>Kutagi</v>
          </cell>
          <cell r="Y363" t="str">
            <v>Võ Thị Nguyên Linh</v>
          </cell>
          <cell r="AA363" t="str">
            <v>Võ Thị Nguyên Linh</v>
          </cell>
          <cell r="AD363" t="str">
            <v>Kutagi</v>
          </cell>
        </row>
        <row r="364">
          <cell r="C364" t="str">
            <v>Preparer</v>
          </cell>
          <cell r="E364" t="str">
            <v>Chief Accountant</v>
          </cell>
          <cell r="H364" t="str">
            <v>General Director</v>
          </cell>
          <cell r="J364" t="str">
            <v>Người lập biểu</v>
          </cell>
          <cell r="L364" t="str">
            <v>Kế toán trưởng</v>
          </cell>
          <cell r="O364" t="str">
            <v>Tổng Giám đốc</v>
          </cell>
          <cell r="R364" t="str">
            <v>Preparer</v>
          </cell>
          <cell r="T364" t="str">
            <v>Chief Accountant</v>
          </cell>
          <cell r="W364" t="str">
            <v>General Director</v>
          </cell>
          <cell r="Y364" t="str">
            <v>Người lập biểu</v>
          </cell>
          <cell r="AA364" t="str">
            <v>Kế toán trưởng</v>
          </cell>
          <cell r="AD364" t="str">
            <v>Tổng Giám đốc</v>
          </cell>
        </row>
        <row r="365">
          <cell r="C365" t="str">
            <v>Certificate No. 1065/KET</v>
          </cell>
          <cell r="J365" t="str">
            <v>Số chứng chỉ hành nghề: 1065/KET</v>
          </cell>
          <cell r="R365" t="str">
            <v>Certificate No. 1065/KET</v>
          </cell>
          <cell r="Y365" t="str">
            <v>Số chứng chỉ hành nghề: 1065/KET</v>
          </cell>
        </row>
        <row r="367">
          <cell r="H367" t="str">
            <v>25 July 2023</v>
          </cell>
          <cell r="O367" t="str">
            <v>Ngày 25 tháng 07 năm 2023</v>
          </cell>
          <cell r="W367" t="str">
            <v>25 July 2023</v>
          </cell>
          <cell r="AD367" t="str">
            <v>Ngày 25 tháng 07 năm 2023</v>
          </cell>
        </row>
        <row r="368">
          <cell r="C368" t="str">
            <v>DEF Company Limited</v>
          </cell>
          <cell r="J368" t="str">
            <v>Công ty TNHH DEF</v>
          </cell>
          <cell r="R368" t="str">
            <v>DEF Company Limited</v>
          </cell>
          <cell r="Y368" t="str">
            <v>Công ty TNHH DEF</v>
          </cell>
        </row>
        <row r="369">
          <cell r="C369" t="str">
            <v>122 Nguyen Cong Tru Street, Nguyen Thai Binh Ward, Ho Chi Minh City, Vietnam</v>
          </cell>
          <cell r="J369" t="str">
            <v>122 Nguyễn Công Trứ, Phường Nguyễn Thái Bình, Thành phố Hồ Chí Minh, Việt Nam</v>
          </cell>
          <cell r="R369" t="str">
            <v>122 Nguyen Cong Tru Street, Nguyen Thai Binh Ward, Ho Chi Minh City, Vietnam</v>
          </cell>
          <cell r="Y369" t="str">
            <v>122 Nguyễn Công Trứ, Phường Nguyễn Thái Bình, Thành phố Hồ Chí Minh, Việt Nam</v>
          </cell>
        </row>
        <row r="370">
          <cell r="C370" t="e">
            <v>#REF!</v>
          </cell>
          <cell r="J370" t="e">
            <v>#REF!</v>
          </cell>
          <cell r="R370" t="e">
            <v>#REF!</v>
          </cell>
          <cell r="Y370" t="e">
            <v>#REF!</v>
          </cell>
        </row>
        <row r="371">
          <cell r="C371" t="e">
            <v>#REF!</v>
          </cell>
          <cell r="J371" t="e">
            <v>#REF!</v>
          </cell>
          <cell r="R371" t="e">
            <v>#REF!</v>
          </cell>
          <cell r="Y371" t="e">
            <v>#REF!</v>
          </cell>
        </row>
      </sheetData>
      <sheetData sheetId="6"/>
      <sheetData sheetId="7">
        <row r="5">
          <cell r="D5" t="str">
            <v>Crowe Vietnam Master Binder Template v1.1</v>
          </cell>
          <cell r="AP5" t="str">
            <v>B09-DN</v>
          </cell>
          <cell r="AW5" t="str">
            <v>Crowe Vietnam Master Binder Template v1.1</v>
          </cell>
          <cell r="CI5" t="str">
            <v>B09-DN</v>
          </cell>
          <cell r="CN5" t="str">
            <v>Crowe Vietnam Master Binder Template v1.1</v>
          </cell>
          <cell r="DZ5" t="str">
            <v>B09-DN</v>
          </cell>
          <cell r="ED5" t="str">
            <v>Crowe Vietnam Master Binder Template v1.1</v>
          </cell>
          <cell r="FP5" t="str">
            <v>B09-DN</v>
          </cell>
        </row>
        <row r="6">
          <cell r="AP6" t="str">
            <v>(Issued in accordance with Circular No. 200/2014/TT-BTC</v>
          </cell>
          <cell r="CI6" t="str">
            <v>(Ban hành theo Thông tư số 200/2014/TT-BTC</v>
          </cell>
          <cell r="DZ6" t="str">
            <v>(Issued in accordance with Circular No. 200/2014/TT-BTC</v>
          </cell>
          <cell r="FP6" t="str">
            <v>(Ban hành theo Thông tư số 200/2014/TT-BTC</v>
          </cell>
        </row>
        <row r="7">
          <cell r="AP7" t="str">
            <v>dated 22 December 2014 of the Ministry of Finance)</v>
          </cell>
          <cell r="CI7" t="str">
            <v>ngày 22 tháng 12 năm 2014 của Bộ Tài chính)</v>
          </cell>
          <cell r="DZ7" t="str">
            <v>dated 22 December 2014 of the Ministry of Finance)</v>
          </cell>
          <cell r="FP7" t="str">
            <v>ngày 22 tháng 12 năm 2014 của Bộ Tài chính)</v>
          </cell>
        </row>
        <row r="9">
          <cell r="D9" t="str">
            <v>NOTES TO THE FINANCIAL STATEMENTS (continued)</v>
          </cell>
          <cell r="AW9" t="str">
            <v>THUYẾT MINH BÁO CÁO TÀI CHÍNH (tiếp theo)</v>
          </cell>
          <cell r="CN9" t="str">
            <v>NOTES TO THE FINANCIAL STATEMENTS (continued)</v>
          </cell>
          <cell r="ED9" t="str">
            <v>THUYẾT MINH BÁO CÁO TÀI CHÍNH (tiếp theo)</v>
          </cell>
        </row>
        <row r="10">
          <cell r="D10" t="str">
            <v>for the year ended 31 December 2023</v>
          </cell>
          <cell r="AW10" t="str">
            <v>cho năm kết thúc ngày 31 tháng 12 năm 2023</v>
          </cell>
          <cell r="CN10" t="str">
            <v>for the year ended 31 December 2023</v>
          </cell>
          <cell r="ED10" t="str">
            <v>cho năm kết thúc ngày 31 tháng 12 năm 2023</v>
          </cell>
        </row>
        <row r="11">
          <cell r="D11" t="str">
            <v>Unit: VND</v>
          </cell>
          <cell r="AW11" t="str">
            <v>Đơn vị: VND</v>
          </cell>
          <cell r="CN11" t="str">
            <v>Unit: VND 1,000</v>
          </cell>
          <cell r="ED11" t="str">
            <v>Đơn vị: 1.000 VND</v>
          </cell>
        </row>
        <row r="13">
          <cell r="D13" t="str">
            <v>4.</v>
          </cell>
          <cell r="E13" t="str">
            <v>SUMMARY OF SIGNIFICANT ACCOUNTING POLICIES (continued)</v>
          </cell>
          <cell r="AW13" t="str">
            <v>4.</v>
          </cell>
          <cell r="AX13" t="str">
            <v>TÓM TẮT CÁC CHÍNH SÁCH KẾ TOÁN CHỦ YẾU (tiếp theo)</v>
          </cell>
          <cell r="CN13" t="str">
            <v>4.</v>
          </cell>
          <cell r="CO13" t="str">
            <v>SUMMARY OF SIGNIFICANT ACCOUNTING POLICIES (continued)</v>
          </cell>
          <cell r="ED13" t="str">
            <v>4.</v>
          </cell>
          <cell r="EE13" t="str">
            <v>TÓM TẮT CÁC CHÍNH SÁCH KẾ TOÁN CHỦ YẾU (tiếp theo)</v>
          </cell>
        </row>
        <row r="15">
          <cell r="D15" t="str">
            <v>4.16</v>
          </cell>
          <cell r="E15" t="str">
            <v>Related parties</v>
          </cell>
          <cell r="AW15" t="str">
            <v>4.16</v>
          </cell>
          <cell r="AX15" t="str">
            <v>Các bên liên quan</v>
          </cell>
          <cell r="CN15" t="str">
            <v>4.16</v>
          </cell>
          <cell r="CO15" t="str">
            <v>Related parties</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D15" t="str">
            <v>4.16</v>
          </cell>
          <cell r="EE15" t="str">
            <v>Các bên liên quan</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row>
        <row r="17">
          <cell r="E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AX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cell r="CO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EE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row>
        <row r="23">
          <cell r="E23" t="str">
            <v>In considering each possible related party relationship, attention is directed to the substance of the relationship, and not merely the legal form.</v>
          </cell>
          <cell r="AX23" t="str">
            <v>Mối quan hệ của các bên liên quan được xem xét, bản chất của mối quan hệ được chú ý, không chỉ đơn thuần hình thức pháp lý của mối quan hệ đó.</v>
          </cell>
          <cell r="CO23" t="str">
            <v>In considering each possible related party relationship, attention is directed to the substance of the relationship, and not merely the legal form.</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E23" t="str">
            <v>Mối quan hệ của các bên liên quan được xem xét, bản chất của mối quan hệ được chú ý, không chỉ đơn thuần hình thức pháp lý của mối quan hệ đó.</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row>
        <row r="24">
          <cell r="CO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E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row>
        <row r="26">
          <cell r="Z26" t="str">
            <v>Ending bal'</v>
          </cell>
          <cell r="AI26" t="str">
            <v>Beginning bal'</v>
          </cell>
          <cell r="BS26" t="str">
            <v>Số cuối năm</v>
          </cell>
          <cell r="CB26" t="str">
            <v>Số đầu năm</v>
          </cell>
          <cell r="DJ26" t="str">
            <v>Ending bal'</v>
          </cell>
          <cell r="DS26" t="str">
            <v>Beginning bal'</v>
          </cell>
          <cell r="EZ26" t="str">
            <v>Số cuối năm</v>
          </cell>
          <cell r="FI26" t="str">
            <v>Số đầu năm</v>
          </cell>
        </row>
        <row r="27">
          <cell r="Z27" t="str">
            <v>Current year</v>
          </cell>
          <cell r="AI27" t="str">
            <v>Previous year</v>
          </cell>
          <cell r="BS27" t="str">
            <v>Năm nay</v>
          </cell>
          <cell r="CB27" t="str">
            <v>Năm trước</v>
          </cell>
          <cell r="DJ27" t="str">
            <v>Current year</v>
          </cell>
          <cell r="DS27" t="str">
            <v>Previous year</v>
          </cell>
          <cell r="EZ27" t="str">
            <v>Năm nay</v>
          </cell>
          <cell r="FI27" t="str">
            <v>Năm trước</v>
          </cell>
        </row>
        <row r="29">
          <cell r="D29" t="str">
            <v>5.</v>
          </cell>
          <cell r="E29" t="str">
            <v>CASH AND CASH EQUIVALENTS</v>
          </cell>
          <cell r="AW29" t="str">
            <v>5.</v>
          </cell>
          <cell r="AX29" t="str">
            <v>TIỀN VÀ CÁC KHOẢN TƯƠNG ĐƯƠNG TIỀN</v>
          </cell>
          <cell r="CN29" t="str">
            <v>5.</v>
          </cell>
          <cell r="CO29" t="str">
            <v>CASH AND CASH EQUIVALENTS</v>
          </cell>
          <cell r="ED29" t="str">
            <v>5.</v>
          </cell>
          <cell r="EE29" t="str">
            <v>TIỀN VÀ CÁC KHOẢN TƯƠNG ĐƯƠNG TIỀN</v>
          </cell>
        </row>
        <row r="31">
          <cell r="Z31" t="str">
            <v>Ending bal'</v>
          </cell>
          <cell r="AI31" t="str">
            <v>Beginning bal'</v>
          </cell>
          <cell r="BS31" t="str">
            <v>Số cuối năm</v>
          </cell>
          <cell r="CB31" t="str">
            <v>Số đầu năm</v>
          </cell>
          <cell r="DJ31" t="str">
            <v>Ending bal'</v>
          </cell>
          <cell r="DS31" t="str">
            <v>Beginning bal'</v>
          </cell>
          <cell r="EZ31" t="str">
            <v>Số cuối năm</v>
          </cell>
          <cell r="FI31" t="str">
            <v>Số đầu năm</v>
          </cell>
        </row>
        <row r="33">
          <cell r="E33" t="str">
            <v>Cash on hand</v>
          </cell>
          <cell r="Z33">
            <v>0</v>
          </cell>
          <cell r="AI33">
            <v>0</v>
          </cell>
          <cell r="AR33">
            <v>0</v>
          </cell>
          <cell r="AS33">
            <v>0</v>
          </cell>
          <cell r="AX33" t="str">
            <v>Tiền mặt</v>
          </cell>
          <cell r="BS33">
            <v>0</v>
          </cell>
          <cell r="CB33">
            <v>0</v>
          </cell>
          <cell r="CO33" t="str">
            <v>Cash on hand</v>
          </cell>
          <cell r="DJ33">
            <v>0</v>
          </cell>
          <cell r="DS33">
            <v>0</v>
          </cell>
          <cell r="ED33" t="str">
            <v/>
          </cell>
          <cell r="EE33" t="str">
            <v>Tiền mặt</v>
          </cell>
          <cell r="EZ33">
            <v>0</v>
          </cell>
          <cell r="FI33">
            <v>0</v>
          </cell>
        </row>
        <row r="34">
          <cell r="E34" t="str">
            <v xml:space="preserve">Cash in banks </v>
          </cell>
          <cell r="Z34">
            <v>1368000</v>
          </cell>
          <cell r="AI34">
            <v>1368000</v>
          </cell>
          <cell r="AR34">
            <v>1368000</v>
          </cell>
          <cell r="AS34">
            <v>1368000</v>
          </cell>
          <cell r="AX34" t="str">
            <v>Tiền gửi ngân hàng</v>
          </cell>
          <cell r="BS34">
            <v>1368000</v>
          </cell>
          <cell r="CB34">
            <v>1368000</v>
          </cell>
          <cell r="CO34" t="str">
            <v xml:space="preserve">Cash in banks </v>
          </cell>
          <cell r="DJ34">
            <v>31122000</v>
          </cell>
          <cell r="DS34">
            <v>30697920</v>
          </cell>
          <cell r="ED34" t="str">
            <v/>
          </cell>
          <cell r="EE34" t="str">
            <v>Tiền gửi ngân hàng</v>
          </cell>
          <cell r="EZ34">
            <v>31122000</v>
          </cell>
          <cell r="FI34">
            <v>30697920</v>
          </cell>
        </row>
        <row r="35">
          <cell r="E35" t="str">
            <v>Cash in transit</v>
          </cell>
          <cell r="Z35">
            <v>0</v>
          </cell>
          <cell r="AI35">
            <v>0</v>
          </cell>
          <cell r="AR35">
            <v>0</v>
          </cell>
          <cell r="AS35">
            <v>0</v>
          </cell>
          <cell r="AX35" t="str">
            <v>Tiền đang chuyển</v>
          </cell>
          <cell r="BS35">
            <v>0</v>
          </cell>
          <cell r="CB35">
            <v>0</v>
          </cell>
          <cell r="CO35" t="str">
            <v>Cash in transit</v>
          </cell>
          <cell r="DJ35">
            <v>0</v>
          </cell>
          <cell r="DS35">
            <v>0</v>
          </cell>
          <cell r="EE35" t="str">
            <v>Tiền đang chuyển</v>
          </cell>
          <cell r="EZ35">
            <v>0</v>
          </cell>
          <cell r="FI35">
            <v>0</v>
          </cell>
        </row>
        <row r="36">
          <cell r="E36" t="str">
            <v>Cash equivalents (*)</v>
          </cell>
          <cell r="Z36">
            <v>10000000</v>
          </cell>
          <cell r="AI36">
            <v>10000000</v>
          </cell>
          <cell r="AR36">
            <v>10000000</v>
          </cell>
          <cell r="AS36">
            <v>10000000</v>
          </cell>
          <cell r="AX36" t="str">
            <v>Các khoản tương đương tiền  (*)</v>
          </cell>
          <cell r="BS36">
            <v>10000000</v>
          </cell>
          <cell r="CB36">
            <v>10000000</v>
          </cell>
          <cell r="CO36" t="str">
            <v>Cash equivalents (*)</v>
          </cell>
          <cell r="DJ36">
            <v>227500000</v>
          </cell>
          <cell r="DS36">
            <v>224400000</v>
          </cell>
          <cell r="ED36" t="str">
            <v/>
          </cell>
          <cell r="EE36" t="str">
            <v>Các khoản tương đương tiền  (*)</v>
          </cell>
          <cell r="EZ36">
            <v>227500000</v>
          </cell>
          <cell r="FI36">
            <v>224400000</v>
          </cell>
        </row>
        <row r="37">
          <cell r="E37" t="str">
            <v>Total</v>
          </cell>
          <cell r="Z37">
            <v>11368000</v>
          </cell>
          <cell r="AI37">
            <v>11368000</v>
          </cell>
          <cell r="AX37" t="str">
            <v>Tổng cộng</v>
          </cell>
          <cell r="BS37">
            <v>11368000</v>
          </cell>
          <cell r="CB37">
            <v>11368000</v>
          </cell>
          <cell r="CO37" t="str">
            <v>Total</v>
          </cell>
          <cell r="DJ37">
            <v>258622000</v>
          </cell>
          <cell r="DS37">
            <v>255097920</v>
          </cell>
          <cell r="ED37" t="str">
            <v/>
          </cell>
          <cell r="EE37" t="str">
            <v>Tổng cộng</v>
          </cell>
          <cell r="EZ37">
            <v>258622000</v>
          </cell>
          <cell r="FI37">
            <v>255097920</v>
          </cell>
        </row>
        <row r="38">
          <cell r="E38" t="str">
            <v>Checking point</v>
          </cell>
          <cell r="Z38">
            <v>6074295659</v>
          </cell>
          <cell r="AI38">
            <v>6259385793</v>
          </cell>
          <cell r="AX38" t="str">
            <v>Checking point</v>
          </cell>
          <cell r="BS38">
            <v>6074295659</v>
          </cell>
          <cell r="CB38">
            <v>6259385793</v>
          </cell>
          <cell r="CO38" t="str">
            <v>Checking point</v>
          </cell>
          <cell r="DJ38">
            <v>138190226242</v>
          </cell>
          <cell r="DS38">
            <v>140460617195</v>
          </cell>
          <cell r="ED38" t="str">
            <v/>
          </cell>
          <cell r="EE38" t="str">
            <v>Checking point</v>
          </cell>
          <cell r="EZ38">
            <v>138190226242</v>
          </cell>
          <cell r="FI38">
            <v>140460617195</v>
          </cell>
        </row>
        <row r="41">
          <cell r="D41" t="str">
            <v/>
          </cell>
          <cell r="E41" t="str">
            <v>Cash in banks are demand deposits detail as below:</v>
          </cell>
          <cell r="AW41" t="str">
            <v/>
          </cell>
          <cell r="AX41" t="str">
            <v>Tiền gửi ngân hàng là các khoản tiền gửi không kỳ hạn chi tiết như sau:</v>
          </cell>
          <cell r="CN41" t="str">
            <v/>
          </cell>
          <cell r="CO41" t="str">
            <v>Cash in banks are demand deposits detail as below:</v>
          </cell>
          <cell r="ED41" t="str">
            <v/>
          </cell>
          <cell r="EE41" t="str">
            <v>Tiền gửi ngân hàng là các khoản tiền gửi không kỳ hạn chi tiết như sau:</v>
          </cell>
        </row>
        <row r="43">
          <cell r="AA43" t="str">
            <v>Ending bal'</v>
          </cell>
          <cell r="AJ43" t="str">
            <v>Beginning bal'</v>
          </cell>
          <cell r="BT43" t="str">
            <v>Số cuối năm</v>
          </cell>
          <cell r="CB43" t="str">
            <v>Số đầu năm</v>
          </cell>
          <cell r="DK43" t="str">
            <v>Ending bal'</v>
          </cell>
          <cell r="DT43" t="str">
            <v>Beginning bal'</v>
          </cell>
          <cell r="FA43" t="str">
            <v>Số cuối năm</v>
          </cell>
          <cell r="FI43" t="str">
            <v>Số đầu năm</v>
          </cell>
        </row>
        <row r="44">
          <cell r="J44" t="str">
            <v>Original</v>
          </cell>
          <cell r="S44" t="str">
            <v>Original</v>
          </cell>
          <cell r="AA44" t="str">
            <v>VND</v>
          </cell>
          <cell r="AH44" t="str">
            <v>Original</v>
          </cell>
          <cell r="AP44" t="str">
            <v>VND</v>
          </cell>
          <cell r="BC44" t="str">
            <v xml:space="preserve">Nguyên </v>
          </cell>
          <cell r="BL44" t="str">
            <v>Giá trị</v>
          </cell>
          <cell r="BT44" t="str">
            <v>VND</v>
          </cell>
          <cell r="CA44" t="str">
            <v>Giá trị</v>
          </cell>
          <cell r="CI44" t="str">
            <v>VND</v>
          </cell>
          <cell r="CT44" t="str">
            <v>Original</v>
          </cell>
          <cell r="DC44" t="str">
            <v>Original</v>
          </cell>
          <cell r="DK44" t="str">
            <v>VND</v>
          </cell>
          <cell r="DR44" t="str">
            <v>Original</v>
          </cell>
          <cell r="DZ44" t="str">
            <v>VND</v>
          </cell>
          <cell r="EJ44" t="str">
            <v xml:space="preserve">Nguyên </v>
          </cell>
          <cell r="ES44" t="str">
            <v>Giá trị</v>
          </cell>
          <cell r="FA44" t="str">
            <v>VND</v>
          </cell>
          <cell r="FH44" t="str">
            <v>Giá trị</v>
          </cell>
          <cell r="FP44" t="str">
            <v>VND</v>
          </cell>
        </row>
        <row r="45">
          <cell r="J45" t="str">
            <v>Currency</v>
          </cell>
          <cell r="S45" t="str">
            <v xml:space="preserve"> amount</v>
          </cell>
          <cell r="AA45" t="str">
            <v>equivalent</v>
          </cell>
          <cell r="AH45" t="str">
            <v xml:space="preserve"> amount</v>
          </cell>
          <cell r="AP45" t="str">
            <v>equivalent</v>
          </cell>
          <cell r="BC45" t="str">
            <v>tệ</v>
          </cell>
          <cell r="BL45" t="str">
            <v xml:space="preserve"> nguyên tệ</v>
          </cell>
          <cell r="BT45" t="str">
            <v>tương đương</v>
          </cell>
          <cell r="CA45" t="str">
            <v xml:space="preserve"> nguyên tệ</v>
          </cell>
          <cell r="CI45" t="str">
            <v>tương đương</v>
          </cell>
          <cell r="CT45" t="str">
            <v>Currency</v>
          </cell>
          <cell r="DC45" t="str">
            <v xml:space="preserve"> amount (**)</v>
          </cell>
          <cell r="DK45" t="str">
            <v>equivalent (***)</v>
          </cell>
          <cell r="DR45" t="str">
            <v xml:space="preserve"> amount (**)</v>
          </cell>
          <cell r="DZ45" t="str">
            <v>equivalent (***)</v>
          </cell>
          <cell r="EJ45" t="str">
            <v>tệ</v>
          </cell>
          <cell r="ES45" t="str">
            <v xml:space="preserve"> nguyên tệ (**)</v>
          </cell>
          <cell r="FA45" t="str">
            <v>chuyển đổi (***)</v>
          </cell>
          <cell r="FH45" t="str">
            <v xml:space="preserve"> nguyên tệ (**)</v>
          </cell>
          <cell r="FP45" t="str">
            <v>chuyển đổi (***)</v>
          </cell>
        </row>
        <row r="47">
          <cell r="D47" t="str">
            <v>Joint Stock Commercial Bank For Foreign Trade Of Vietnam</v>
          </cell>
          <cell r="J47" t="str">
            <v>USD</v>
          </cell>
          <cell r="M47">
            <v>1000</v>
          </cell>
          <cell r="T47">
            <v>24000</v>
          </cell>
          <cell r="AB47">
            <v>1000</v>
          </cell>
          <cell r="AI47">
            <v>24000</v>
          </cell>
          <cell r="AW47" t="str">
            <v>Ngân hàng thương mại cổ phần Ngoại thương Việt Nam</v>
          </cell>
          <cell r="BC47" t="str">
            <v>USD</v>
          </cell>
          <cell r="BF47">
            <v>1000</v>
          </cell>
          <cell r="BH47">
            <v>0</v>
          </cell>
          <cell r="BM47">
            <v>24000</v>
          </cell>
          <cell r="BU47">
            <v>1000</v>
          </cell>
          <cell r="CB47">
            <v>24000</v>
          </cell>
          <cell r="CN47" t="str">
            <v>Joint Stock Commercial Bank For Foreign Trade Of Vietnam</v>
          </cell>
          <cell r="CT47" t="str">
            <v>USD</v>
          </cell>
          <cell r="CW47">
            <v>1000</v>
          </cell>
          <cell r="DD47">
            <v>546000</v>
          </cell>
          <cell r="DL47">
            <v>1000</v>
          </cell>
          <cell r="DS47">
            <v>538560</v>
          </cell>
          <cell r="ED47" t="str">
            <v>Ngân hàng thương mại cổ phần Ngoại thương Việt Nam</v>
          </cell>
          <cell r="EJ47" t="str">
            <v>USD</v>
          </cell>
          <cell r="EM47">
            <v>1000</v>
          </cell>
          <cell r="ET47">
            <v>546000</v>
          </cell>
          <cell r="FB47">
            <v>1000</v>
          </cell>
          <cell r="FI47">
            <v>538560</v>
          </cell>
        </row>
        <row r="48">
          <cell r="J48" t="str">
            <v>VND</v>
          </cell>
          <cell r="M48">
            <v>1000000</v>
          </cell>
          <cell r="T48">
            <v>1000000</v>
          </cell>
          <cell r="AB48">
            <v>1000000</v>
          </cell>
          <cell r="AI48">
            <v>1000000</v>
          </cell>
          <cell r="BC48" t="str">
            <v>VND</v>
          </cell>
          <cell r="BF48">
            <v>1000000</v>
          </cell>
          <cell r="BH48">
            <v>0</v>
          </cell>
          <cell r="BM48">
            <v>1000000</v>
          </cell>
          <cell r="BU48">
            <v>1000000</v>
          </cell>
          <cell r="CB48">
            <v>1000000</v>
          </cell>
          <cell r="CT48" t="str">
            <v>VND</v>
          </cell>
          <cell r="CW48">
            <v>1000000</v>
          </cell>
          <cell r="DD48">
            <v>22750000</v>
          </cell>
          <cell r="DL48">
            <v>1000000</v>
          </cell>
          <cell r="DS48">
            <v>22440000</v>
          </cell>
          <cell r="EJ48" t="str">
            <v>VND</v>
          </cell>
          <cell r="EM48">
            <v>1000000</v>
          </cell>
          <cell r="ET48">
            <v>22750000</v>
          </cell>
          <cell r="FB48">
            <v>1000000</v>
          </cell>
          <cell r="FI48">
            <v>22440000</v>
          </cell>
        </row>
        <row r="49">
          <cell r="J49" t="str">
            <v>JPY</v>
          </cell>
          <cell r="M49">
            <v>1000</v>
          </cell>
          <cell r="T49">
            <v>160000</v>
          </cell>
          <cell r="AB49">
            <v>1000</v>
          </cell>
          <cell r="AI49">
            <v>160000</v>
          </cell>
          <cell r="BC49" t="str">
            <v>JPY</v>
          </cell>
          <cell r="BF49">
            <v>1000</v>
          </cell>
          <cell r="BH49">
            <v>0</v>
          </cell>
          <cell r="BM49">
            <v>160000</v>
          </cell>
          <cell r="BU49">
            <v>1000</v>
          </cell>
          <cell r="CB49">
            <v>160000</v>
          </cell>
          <cell r="CT49" t="str">
            <v>JPY</v>
          </cell>
          <cell r="CW49">
            <v>1000</v>
          </cell>
          <cell r="DD49">
            <v>3640000</v>
          </cell>
          <cell r="DL49">
            <v>1000</v>
          </cell>
          <cell r="DS49">
            <v>3590400</v>
          </cell>
          <cell r="EJ49" t="str">
            <v>JPY</v>
          </cell>
          <cell r="EM49">
            <v>1000</v>
          </cell>
          <cell r="ET49">
            <v>3640000</v>
          </cell>
          <cell r="FB49">
            <v>1000</v>
          </cell>
          <cell r="FI49">
            <v>3590400</v>
          </cell>
        </row>
        <row r="52">
          <cell r="D52" t="str">
            <v>Sumitomo Mitsui Banking Corporation</v>
          </cell>
          <cell r="J52" t="str">
            <v>USD</v>
          </cell>
          <cell r="M52">
            <v>1000</v>
          </cell>
          <cell r="T52">
            <v>24000</v>
          </cell>
          <cell r="AB52">
            <v>1000</v>
          </cell>
          <cell r="AI52">
            <v>24000</v>
          </cell>
          <cell r="AW52" t="str">
            <v>Ngân hàng Sumitomo Mitsui Banking Corporation</v>
          </cell>
          <cell r="BC52" t="str">
            <v>USD</v>
          </cell>
          <cell r="BF52">
            <v>1000</v>
          </cell>
          <cell r="BH52">
            <v>0</v>
          </cell>
          <cell r="BM52">
            <v>24000</v>
          </cell>
          <cell r="BU52">
            <v>1000</v>
          </cell>
          <cell r="CB52">
            <v>24000</v>
          </cell>
          <cell r="CN52" t="str">
            <v>Sumitomo Mitsui Banking Corporation</v>
          </cell>
          <cell r="CT52" t="str">
            <v>USD</v>
          </cell>
          <cell r="CW52">
            <v>1000</v>
          </cell>
          <cell r="DD52">
            <v>546000</v>
          </cell>
          <cell r="DL52">
            <v>1000</v>
          </cell>
          <cell r="DS52">
            <v>538560</v>
          </cell>
          <cell r="ED52" t="str">
            <v>Ngân hàng Sumitomo Mitsui Banking Corporation</v>
          </cell>
          <cell r="EJ52" t="str">
            <v>USD</v>
          </cell>
          <cell r="EM52">
            <v>1000</v>
          </cell>
          <cell r="ET52">
            <v>546000</v>
          </cell>
          <cell r="FB52">
            <v>1000</v>
          </cell>
          <cell r="FI52">
            <v>538560</v>
          </cell>
        </row>
        <row r="53">
          <cell r="J53" t="str">
            <v>JPY</v>
          </cell>
          <cell r="M53">
            <v>1000</v>
          </cell>
          <cell r="T53">
            <v>160000</v>
          </cell>
          <cell r="AB53">
            <v>1000</v>
          </cell>
          <cell r="AI53">
            <v>160000</v>
          </cell>
          <cell r="BC53" t="str">
            <v>JPY</v>
          </cell>
          <cell r="BF53">
            <v>1000</v>
          </cell>
          <cell r="BH53">
            <v>0</v>
          </cell>
          <cell r="BM53">
            <v>160000</v>
          </cell>
          <cell r="BU53">
            <v>1000</v>
          </cell>
          <cell r="CB53">
            <v>160000</v>
          </cell>
          <cell r="CT53" t="str">
            <v>JPY</v>
          </cell>
          <cell r="CW53">
            <v>1000</v>
          </cell>
          <cell r="DD53">
            <v>3640000</v>
          </cell>
          <cell r="DL53">
            <v>1000</v>
          </cell>
          <cell r="DS53">
            <v>3590400</v>
          </cell>
          <cell r="EJ53" t="str">
            <v>JPY</v>
          </cell>
          <cell r="EM53">
            <v>1000</v>
          </cell>
          <cell r="ET53">
            <v>3640000</v>
          </cell>
          <cell r="FB53">
            <v>1000</v>
          </cell>
          <cell r="FI53">
            <v>3590400</v>
          </cell>
        </row>
        <row r="55">
          <cell r="D55" t="str">
            <v>Total</v>
          </cell>
          <cell r="T55">
            <v>1368000</v>
          </cell>
          <cell r="U55">
            <v>0</v>
          </cell>
          <cell r="AI55">
            <v>1368000</v>
          </cell>
          <cell r="AJ55">
            <v>0</v>
          </cell>
          <cell r="AW55" t="str">
            <v>Tổng cộng</v>
          </cell>
          <cell r="BM55">
            <v>1368000</v>
          </cell>
          <cell r="BN55">
            <v>0</v>
          </cell>
          <cell r="CB55">
            <v>1368000</v>
          </cell>
          <cell r="CC55">
            <v>0</v>
          </cell>
          <cell r="CN55" t="str">
            <v>Total</v>
          </cell>
          <cell r="DD55">
            <v>31122000</v>
          </cell>
          <cell r="DE55">
            <v>0</v>
          </cell>
          <cell r="DS55">
            <v>30697920</v>
          </cell>
          <cell r="DT55">
            <v>0</v>
          </cell>
          <cell r="ED55" t="str">
            <v>Tổng cộng</v>
          </cell>
          <cell r="ET55">
            <v>31122000</v>
          </cell>
          <cell r="EU55">
            <v>0</v>
          </cell>
          <cell r="FI55">
            <v>30697920</v>
          </cell>
          <cell r="FJ55">
            <v>0</v>
          </cell>
        </row>
        <row r="57">
          <cell r="CN57" t="str">
            <v>(**)</v>
          </cell>
          <cell r="CO57" t="str">
            <v>The original amount is presented based on the ending balance of bank statement on 31 December 2023.</v>
          </cell>
          <cell r="ED57" t="str">
            <v>(**)</v>
          </cell>
          <cell r="EE57" t="str">
            <v>Giá trị nguyên tệ được trình bày căn cứ theo số dư trên bảng sao kê ngân hàng tại ngày 31 tháng 12 năm 2023.</v>
          </cell>
        </row>
        <row r="60">
          <cell r="CN60" t="str">
            <v>(***)</v>
          </cell>
          <cell r="CO60" t="str">
            <v>The equivalent with VND is presented based on the exchange rate applied to translate.</v>
          </cell>
          <cell r="ED60" t="str">
            <v>(***)</v>
          </cell>
          <cell r="EE60" t="str">
            <v>Số dư VND tương đương được trình bày căn cứ theo tỷ giá áp dụng để chuyển đổi.</v>
          </cell>
        </row>
        <row r="62">
          <cell r="D62" t="str">
            <v xml:space="preserve"> (*)</v>
          </cell>
          <cell r="E62" t="str">
            <v>Cash equivalent represent(s) deposit VND/USD with a term of 01 month at Joint Stock Commercial Bank for Foreign Trade of Vietnam - Ho Chi Minh City Branch; interest rate: 14% per annum.</v>
          </cell>
          <cell r="AW62" t="str">
            <v xml:space="preserve"> (*)</v>
          </cell>
          <cell r="AX62" t="str">
            <v>Khoản tương đương tiền là khoản tiền gửi VND/USD có kỳ hạn 01 tháng tại Ngân hàng Thương mại Cổ phần Ngoại thương Việt Nam - Chi nhánh Thành phố Hồ Chí Minh; lãi suất: 14% / năm.</v>
          </cell>
          <cell r="CN62" t="str">
            <v xml:space="preserve">(*) </v>
          </cell>
          <cell r="CO62" t="str">
            <v>Cash equivalent represent(s) deposit VND/USD with a term of 01 month at Joint Stock Commercial Bank for Foreign Trade of Vietnam - Ho Chi Minh City Branch; interest rate: 14% per annum.</v>
          </cell>
          <cell r="ED62" t="str">
            <v xml:space="preserve"> (*)</v>
          </cell>
          <cell r="EE62" t="str">
            <v>Khoản tương đương tiền là khoản tiền gửi VND/USD có kỳ hạn 01 tháng tại Ngân hàng Thương mại Cổ phần Ngoại thương Việt Nam - Chi nhánh Thành phố Hồ Chí Minh; lãi suất: 14% / năm.</v>
          </cell>
        </row>
        <row r="65">
          <cell r="D65" t="str">
            <v xml:space="preserve"> (*)</v>
          </cell>
          <cell r="E65" t="str">
            <v>Cash equivalents as at 31 December 2024 consist of:</v>
          </cell>
          <cell r="AW65" t="str">
            <v xml:space="preserve"> (*)</v>
          </cell>
          <cell r="AX65" t="str">
            <v>Các khoản tương đương tiền tại ngày 31 tháng 12 năm 2024 bao gồm:</v>
          </cell>
          <cell r="CN65" t="str">
            <v xml:space="preserve"> (*)</v>
          </cell>
          <cell r="CO65" t="str">
            <v>Cash equivalents as at 31 December 2024 consist of:</v>
          </cell>
          <cell r="EE65" t="str">
            <v>Các khoản tương đương tiền tại ngày 31 tháng 12 năm 2024 bao gồm:</v>
          </cell>
        </row>
        <row r="67">
          <cell r="E67" t="str">
            <v>- Deposits in VND with a term of 01 month at Vietnam Technological and Commercial Joint Stock Bank totalling to VND 9,000,000,000; interest rate: 2.7% per annum.</v>
          </cell>
          <cell r="AX67" t="str">
            <v>Các khoản tiền gửi VND có kỳ hạn 01 tháng tại Ngân hàng Thương mại cổ phần Kỹ Thương Việt Nam với tổng giá trị 9.000.000.000 VND; lãi suất: 2,7%/năm.</v>
          </cell>
          <cell r="CO67" t="str">
            <v>- Deposits in VND with a term of 01 month at Vietnam Technological and Commercial Joint Stock Bank totalling to VND 9,000,000,000; interest rate: 2.7% per annum.</v>
          </cell>
          <cell r="EE67" t="str">
            <v>Các khoản tiền gửi VND có kỳ hạn 01 tháng tại Ngân hàng Thương mại cổ phần Kỹ Thương Việt Nam với tổng giá trị 9.000.000.000 VND; lãi suất: 2,7%/năm.</v>
          </cell>
        </row>
        <row r="70">
          <cell r="E70" t="str">
            <v>- Deposits in VND with terms of less than or equal to 03 month at Joint stock Commercial Bank for Investment and Development of Viet Nam - Tay Ho Branch totalling to VND 5,000,000,000; interest rate: 4.2% - 4.5% per annum.</v>
          </cell>
          <cell r="AX70" t="str">
            <v>Các khoản tiền gửi VND có kỳ hạn dưới hoặc bằng 03 tháng tại Ngân hàng Thương mại cổ phần Đầu tư và Phát triển Việt Nam - Chi nhánh Tây Hồ với tổng giá trị 5.000.000.000 VND; lãi suất: 4,2% - 4,5%/năm.</v>
          </cell>
          <cell r="CO70" t="str">
            <v>Các khoản tiền gửi VND có kỳ hạn dưới hoặc bằng 03 tháng tại Ngân hàng Thương mại cổ phần Đầu tư và Phát triển Việt Nam - Chi nhánh Tây Hồ với tổng giá trị 5.000.000.000 VND; lãi suất: 4,2% - 4,5%/năm.</v>
          </cell>
          <cell r="EE70" t="str">
            <v>Các khoản tiền gửi VND có kỳ hạn dưới hoặc bằng 03 tháng tại Ngân hàng Thương mại cổ phần Đầu tư và Phát triển Việt Nam - Chi nhánh Tây Hồ với tổng giá trị 5.000.000.000 VND; lãi suất: 4,2% - 4,5%/năm.</v>
          </cell>
        </row>
        <row r="74">
          <cell r="E74" t="str">
            <v>At 31 December 2015, Cash equivalent comprised an amount of USD XX million (31 December 2014: USDXX million) which was not available for use due to [describe the restrictions].</v>
          </cell>
          <cell r="AX74" t="str">
            <v>Tại ngày 31 tháng 12 năm 2015, khoản tương đương tiền với giá trị XXX USD (tại ngày 31 tháng 12 năm 2014: XXX USD) không sẵn sàng để sử dụng do [nêu rõ lý do hạn chế]</v>
          </cell>
          <cell r="CO74" t="str">
            <v>At 31 December 2015, Cash equivalent comprised an amount of USD XX million (31 December 2014: USDXX million) which was not available for use due to [describe the restrictions].</v>
          </cell>
          <cell r="EE74" t="str">
            <v>Tại ngày 31 tháng 12 năm 2015, khoản tương đương tiền với giá trị XXX USD (tại ngày 31 tháng 12 năm 2014: XXX USD) không sẵn sàng để sử dụng do [nêu rõ lý do hạn chế]</v>
          </cell>
        </row>
        <row r="77">
          <cell r="D77" t="str">
            <v>.</v>
          </cell>
          <cell r="E77" t="str">
            <v>TRADING SECURITIES</v>
          </cell>
          <cell r="AW77" t="str">
            <v>.</v>
          </cell>
          <cell r="AX77" t="str">
            <v>CHỨNG KHOÁN KINH DOANH</v>
          </cell>
          <cell r="CN77" t="str">
            <v>.</v>
          </cell>
          <cell r="CO77" t="str">
            <v>TRADING SECURITIES</v>
          </cell>
          <cell r="ED77" t="str">
            <v>.</v>
          </cell>
          <cell r="EE77" t="str">
            <v>CHỨNG KHOÁN KINH DOANH</v>
          </cell>
        </row>
        <row r="79">
          <cell r="Z79" t="str">
            <v>Ending bal'</v>
          </cell>
          <cell r="AI79" t="str">
            <v>Beginning bal'</v>
          </cell>
          <cell r="BS79" t="str">
            <v>Số cuối năm</v>
          </cell>
          <cell r="CB79" t="str">
            <v>Số đầu năm</v>
          </cell>
          <cell r="DJ79" t="str">
            <v>Ending bal'</v>
          </cell>
          <cell r="DS79" t="str">
            <v>Beginning bal'</v>
          </cell>
          <cell r="EZ79" t="str">
            <v>Số cuối năm</v>
          </cell>
          <cell r="FI79" t="str">
            <v>Số đầu năm</v>
          </cell>
        </row>
        <row r="81">
          <cell r="E81" t="str">
            <v>Shares</v>
          </cell>
          <cell r="AX81" t="str">
            <v>Cổ phiếu</v>
          </cell>
          <cell r="CO81" t="str">
            <v>Shares</v>
          </cell>
          <cell r="EE81" t="str">
            <v>Cổ phiếu</v>
          </cell>
        </row>
        <row r="82">
          <cell r="F82" t="str">
            <v>Company A</v>
          </cell>
          <cell r="Z82">
            <v>0</v>
          </cell>
          <cell r="AI82">
            <v>0</v>
          </cell>
          <cell r="AR82">
            <v>0</v>
          </cell>
          <cell r="AS82">
            <v>0</v>
          </cell>
          <cell r="AY82" t="str">
            <v>Công ty A</v>
          </cell>
          <cell r="BS82">
            <v>0</v>
          </cell>
          <cell r="CB82">
            <v>0</v>
          </cell>
          <cell r="CP82" t="str">
            <v>Company A</v>
          </cell>
          <cell r="DJ82">
            <v>0</v>
          </cell>
          <cell r="DS82">
            <v>0</v>
          </cell>
          <cell r="ED82" t="str">
            <v/>
          </cell>
          <cell r="EF82" t="str">
            <v>Công ty A</v>
          </cell>
          <cell r="EZ82">
            <v>0</v>
          </cell>
          <cell r="FI82">
            <v>0</v>
          </cell>
        </row>
        <row r="83">
          <cell r="F83" t="str">
            <v>Company B</v>
          </cell>
          <cell r="Z83">
            <v>0</v>
          </cell>
          <cell r="AI83">
            <v>0</v>
          </cell>
          <cell r="AR83">
            <v>0</v>
          </cell>
          <cell r="AS83">
            <v>0</v>
          </cell>
          <cell r="AY83" t="str">
            <v>Công ty B</v>
          </cell>
          <cell r="BS83">
            <v>0</v>
          </cell>
          <cell r="CB83">
            <v>0</v>
          </cell>
          <cell r="CP83" t="str">
            <v>Company B</v>
          </cell>
          <cell r="DJ83">
            <v>0</v>
          </cell>
          <cell r="DS83">
            <v>0</v>
          </cell>
          <cell r="ED83" t="str">
            <v/>
          </cell>
          <cell r="EF83" t="str">
            <v>Công ty B</v>
          </cell>
          <cell r="EZ83">
            <v>0</v>
          </cell>
          <cell r="FI83">
            <v>0</v>
          </cell>
        </row>
        <row r="84">
          <cell r="E84" t="str">
            <v>Bonds</v>
          </cell>
          <cell r="AX84" t="str">
            <v>Trái phiếu</v>
          </cell>
          <cell r="CO84" t="str">
            <v>Bonds</v>
          </cell>
          <cell r="EE84" t="str">
            <v>Trái phiếu</v>
          </cell>
        </row>
        <row r="85">
          <cell r="F85" t="str">
            <v>Corporate bonds</v>
          </cell>
          <cell r="Z85">
            <v>0</v>
          </cell>
          <cell r="AI85">
            <v>0</v>
          </cell>
          <cell r="AR85">
            <v>0</v>
          </cell>
          <cell r="AS85">
            <v>0</v>
          </cell>
          <cell r="AY85" t="str">
            <v>Trái phiếu công ty</v>
          </cell>
          <cell r="BS85">
            <v>0</v>
          </cell>
          <cell r="CB85">
            <v>0</v>
          </cell>
          <cell r="CP85" t="str">
            <v>Corporate bonds</v>
          </cell>
          <cell r="DJ85">
            <v>0</v>
          </cell>
          <cell r="DS85">
            <v>0</v>
          </cell>
          <cell r="EF85" t="str">
            <v>Trái phiếu công ty</v>
          </cell>
          <cell r="EZ85">
            <v>0</v>
          </cell>
          <cell r="FI85">
            <v>0</v>
          </cell>
        </row>
        <row r="86">
          <cell r="F86" t="str">
            <v>Treasure bonds</v>
          </cell>
          <cell r="Z86">
            <v>0</v>
          </cell>
          <cell r="AI86">
            <v>0</v>
          </cell>
          <cell r="AR86">
            <v>0</v>
          </cell>
          <cell r="AS86">
            <v>0</v>
          </cell>
          <cell r="AY86" t="str">
            <v>Trái phiếu chính phủ</v>
          </cell>
          <cell r="BS86">
            <v>0</v>
          </cell>
          <cell r="CB86">
            <v>0</v>
          </cell>
          <cell r="CP86" t="str">
            <v>Treasure bonds</v>
          </cell>
          <cell r="DJ86">
            <v>0</v>
          </cell>
          <cell r="DS86">
            <v>0</v>
          </cell>
          <cell r="EF86" t="str">
            <v>Trái phiếu chính phủ</v>
          </cell>
          <cell r="EZ86">
            <v>0</v>
          </cell>
          <cell r="FI86">
            <v>0</v>
          </cell>
        </row>
        <row r="87">
          <cell r="E87" t="str">
            <v>Others</v>
          </cell>
          <cell r="Z87">
            <v>0</v>
          </cell>
          <cell r="AI87">
            <v>0</v>
          </cell>
          <cell r="AR87">
            <v>0</v>
          </cell>
          <cell r="AS87">
            <v>0</v>
          </cell>
          <cell r="AX87" t="str">
            <v>Khác</v>
          </cell>
          <cell r="BS87">
            <v>0</v>
          </cell>
          <cell r="CB87">
            <v>0</v>
          </cell>
          <cell r="CO87" t="str">
            <v>Others</v>
          </cell>
          <cell r="DJ87">
            <v>0</v>
          </cell>
          <cell r="DS87">
            <v>0</v>
          </cell>
          <cell r="ED87" t="str">
            <v/>
          </cell>
          <cell r="EE87" t="str">
            <v>Khác</v>
          </cell>
          <cell r="EZ87">
            <v>0</v>
          </cell>
          <cell r="FI87">
            <v>0</v>
          </cell>
        </row>
        <row r="88">
          <cell r="E88" t="str">
            <v>Total</v>
          </cell>
          <cell r="Z88">
            <v>0</v>
          </cell>
          <cell r="AI88">
            <v>0</v>
          </cell>
          <cell r="AX88" t="str">
            <v>Tổng cộng</v>
          </cell>
          <cell r="BS88">
            <v>0</v>
          </cell>
          <cell r="CB88">
            <v>0</v>
          </cell>
          <cell r="CO88" t="str">
            <v>Total</v>
          </cell>
          <cell r="DJ88">
            <v>0</v>
          </cell>
          <cell r="DS88">
            <v>0</v>
          </cell>
          <cell r="EE88" t="str">
            <v>Tổng cộng</v>
          </cell>
          <cell r="EZ88">
            <v>0</v>
          </cell>
          <cell r="FI88">
            <v>0</v>
          </cell>
        </row>
        <row r="89">
          <cell r="E89" t="str">
            <v>Checking point</v>
          </cell>
          <cell r="Z89">
            <v>0</v>
          </cell>
          <cell r="AI89">
            <v>0</v>
          </cell>
          <cell r="AX89" t="str">
            <v>Checking point</v>
          </cell>
          <cell r="BS89">
            <v>0</v>
          </cell>
          <cell r="CB89">
            <v>0</v>
          </cell>
          <cell r="CO89" t="str">
            <v>Checking point</v>
          </cell>
          <cell r="DJ89">
            <v>0</v>
          </cell>
          <cell r="DS89">
            <v>0</v>
          </cell>
          <cell r="ED89" t="str">
            <v/>
          </cell>
          <cell r="EE89" t="str">
            <v>Checking point</v>
          </cell>
          <cell r="EZ89">
            <v>0</v>
          </cell>
          <cell r="FI89">
            <v>0</v>
          </cell>
        </row>
        <row r="91">
          <cell r="E91" t="str">
            <v>PROVISION FOR DEVALUATION OF
 TRADING SECURITIES</v>
          </cell>
          <cell r="AX91" t="str">
            <v>DỰ PHÒNG GIẢM GIÁ CHỨNG KHOÁN 
 KINH DOANH</v>
          </cell>
          <cell r="CO91" t="str">
            <v>PROVISION FOR DEVALUATION OF
 TRADING SECURITIES</v>
          </cell>
          <cell r="ED91" t="str">
            <v/>
          </cell>
          <cell r="EE91" t="str">
            <v>DỰ PHÒNG GIẢM GIÁ CHỨNG KHOÁN 
 KINH DOANH</v>
          </cell>
        </row>
        <row r="93">
          <cell r="Z93" t="str">
            <v>Current year</v>
          </cell>
          <cell r="AI93" t="str">
            <v>Previous year</v>
          </cell>
          <cell r="BS93" t="str">
            <v>Năm nay</v>
          </cell>
          <cell r="CB93" t="str">
            <v>Năm trước</v>
          </cell>
          <cell r="DS93" t="str">
            <v>Current year</v>
          </cell>
          <cell r="FI93" t="str">
            <v>Năm nay</v>
          </cell>
        </row>
        <row r="96">
          <cell r="E96" t="str">
            <v>Beginning balance</v>
          </cell>
          <cell r="Z96">
            <v>0</v>
          </cell>
          <cell r="AI96">
            <v>0</v>
          </cell>
          <cell r="AR96" t="str">
            <v/>
          </cell>
          <cell r="AS96">
            <v>0</v>
          </cell>
          <cell r="AX96" t="str">
            <v>Số đầu năm</v>
          </cell>
          <cell r="BS96">
            <v>0</v>
          </cell>
          <cell r="CB96">
            <v>0</v>
          </cell>
          <cell r="CO96" t="str">
            <v>Beginning balance</v>
          </cell>
          <cell r="DS96">
            <v>0</v>
          </cell>
          <cell r="ED96" t="str">
            <v/>
          </cell>
          <cell r="EE96" t="str">
            <v>Số đầu năm</v>
          </cell>
          <cell r="FI96">
            <v>0</v>
          </cell>
        </row>
        <row r="97">
          <cell r="E97" t="str">
            <v>Provision recorded in the year</v>
          </cell>
          <cell r="Z97">
            <v>0</v>
          </cell>
          <cell r="AI97">
            <v>0</v>
          </cell>
          <cell r="AR97">
            <v>0</v>
          </cell>
          <cell r="AS97">
            <v>0</v>
          </cell>
          <cell r="AX97" t="str">
            <v>Dự phòng trích lập trong năm</v>
          </cell>
          <cell r="BS97">
            <v>0</v>
          </cell>
          <cell r="CB97">
            <v>0</v>
          </cell>
          <cell r="CO97" t="str">
            <v>Provision recorded in the year</v>
          </cell>
          <cell r="DS97">
            <v>0</v>
          </cell>
          <cell r="EE97" t="str">
            <v>Dự phòng trích lập trong năm</v>
          </cell>
          <cell r="FI97">
            <v>0</v>
          </cell>
        </row>
        <row r="98">
          <cell r="E98" t="str">
            <v>Provision utilised/reversed in the year</v>
          </cell>
          <cell r="Z98">
            <v>0</v>
          </cell>
          <cell r="AI98">
            <v>0</v>
          </cell>
          <cell r="AR98">
            <v>0</v>
          </cell>
          <cell r="AS98">
            <v>0</v>
          </cell>
          <cell r="AX98" t="str">
            <v>Dự phòng sử dụng/hoàn nhập trong năm</v>
          </cell>
          <cell r="BS98">
            <v>0</v>
          </cell>
          <cell r="CB98">
            <v>0</v>
          </cell>
          <cell r="CO98" t="str">
            <v>Provision utilised/reversed in the year</v>
          </cell>
          <cell r="DS98">
            <v>0</v>
          </cell>
          <cell r="EE98" t="str">
            <v>Dự phòng sử dụng/hoàn nhập trong năm</v>
          </cell>
          <cell r="FI98">
            <v>0</v>
          </cell>
        </row>
        <row r="99">
          <cell r="E99" t="str">
            <v>Ending balance</v>
          </cell>
          <cell r="Z99">
            <v>0</v>
          </cell>
          <cell r="AI99">
            <v>0</v>
          </cell>
          <cell r="AX99" t="str">
            <v>Số cuối năm</v>
          </cell>
          <cell r="BS99">
            <v>0</v>
          </cell>
          <cell r="CB99">
            <v>0</v>
          </cell>
          <cell r="CO99" t="str">
            <v>FX difference (*)</v>
          </cell>
          <cell r="DS99">
            <v>0</v>
          </cell>
          <cell r="EE99" t="str">
            <v>CLTG (*)</v>
          </cell>
          <cell r="FI99">
            <v>0</v>
          </cell>
        </row>
        <row r="100">
          <cell r="E100" t="str">
            <v>Checking point</v>
          </cell>
          <cell r="Z100">
            <v>0</v>
          </cell>
          <cell r="AI100">
            <v>0</v>
          </cell>
          <cell r="AX100" t="str">
            <v>Checking point</v>
          </cell>
          <cell r="BS100">
            <v>0</v>
          </cell>
          <cell r="CB100">
            <v>0</v>
          </cell>
          <cell r="CO100" t="str">
            <v>Ending balance</v>
          </cell>
          <cell r="DS100">
            <v>0</v>
          </cell>
          <cell r="EE100" t="str">
            <v>Số cuối năm</v>
          </cell>
          <cell r="FI100">
            <v>0</v>
          </cell>
        </row>
        <row r="101">
          <cell r="CO101" t="str">
            <v>Checking point</v>
          </cell>
          <cell r="DS101">
            <v>0</v>
          </cell>
          <cell r="ED101" t="str">
            <v/>
          </cell>
          <cell r="EE101" t="str">
            <v>Checking point</v>
          </cell>
          <cell r="FI101">
            <v>0</v>
          </cell>
        </row>
        <row r="103">
          <cell r="CO103" t="str">
            <v>FX difference (*): derived from the difference between exchange rates applied to translate.</v>
          </cell>
          <cell r="EE103" t="str">
            <v>CLTG (*): phát sinh do sự khác nhau giữa các tỷ giá áp dụng để chuyển đổi.</v>
          </cell>
        </row>
        <row r="105">
          <cell r="D105" t="str">
            <v>.</v>
          </cell>
          <cell r="E105" t="str">
            <v>INVESTMENTS HELD TO MATURITY</v>
          </cell>
          <cell r="AW105" t="str">
            <v>.</v>
          </cell>
          <cell r="AX105" t="str">
            <v>ĐẦU TƯ NẮM GIỮ ĐẾN NGÀY ĐÁO HẠN</v>
          </cell>
          <cell r="CN105" t="str">
            <v>.</v>
          </cell>
          <cell r="CO105" t="str">
            <v>INVESTMENTS HELD TO MATURITY</v>
          </cell>
          <cell r="ED105" t="str">
            <v>.</v>
          </cell>
          <cell r="EE105" t="str">
            <v>ĐẦU TƯ NẮM GIỮ ĐẾN NGÀY ĐÁO HẠN</v>
          </cell>
        </row>
        <row r="107">
          <cell r="Z107" t="str">
            <v>Ending bal'</v>
          </cell>
          <cell r="AI107" t="str">
            <v>Beginning bal'</v>
          </cell>
          <cell r="BS107" t="str">
            <v>Số cuối năm</v>
          </cell>
          <cell r="CB107" t="str">
            <v>Số đầu năm</v>
          </cell>
          <cell r="DJ107" t="str">
            <v>Ending bal'</v>
          </cell>
          <cell r="DS107" t="str">
            <v>Beginning bal'</v>
          </cell>
          <cell r="EZ107" t="str">
            <v>Số cuối năm</v>
          </cell>
          <cell r="FI107" t="str">
            <v>Số đầu năm</v>
          </cell>
        </row>
        <row r="109">
          <cell r="E109" t="str">
            <v>Short-term</v>
          </cell>
          <cell r="AX109" t="str">
            <v>Ngắn hạn</v>
          </cell>
          <cell r="CO109" t="str">
            <v>Short-term</v>
          </cell>
          <cell r="EE109" t="str">
            <v>Ngắn hạn</v>
          </cell>
        </row>
        <row r="110">
          <cell r="E110" t="str">
            <v>Term deposit (2*)</v>
          </cell>
          <cell r="Z110">
            <v>0</v>
          </cell>
          <cell r="AI110">
            <v>0</v>
          </cell>
          <cell r="AR110">
            <v>0</v>
          </cell>
          <cell r="AS110">
            <v>0</v>
          </cell>
          <cell r="AX110" t="str">
            <v>Tiền gửi có kỳ hạn (2*)</v>
          </cell>
          <cell r="BS110">
            <v>0</v>
          </cell>
          <cell r="CB110">
            <v>0</v>
          </cell>
          <cell r="CO110" t="str">
            <v>Term deposit (2*)</v>
          </cell>
          <cell r="DJ110">
            <v>0</v>
          </cell>
          <cell r="DS110">
            <v>0</v>
          </cell>
          <cell r="ED110" t="str">
            <v/>
          </cell>
          <cell r="EE110" t="str">
            <v>Tiền gửi có kỳ hạn (2*)</v>
          </cell>
          <cell r="EZ110">
            <v>0</v>
          </cell>
          <cell r="FI110">
            <v>0</v>
          </cell>
        </row>
        <row r="111">
          <cell r="E111" t="str">
            <v>Bonds</v>
          </cell>
          <cell r="Z111">
            <v>0</v>
          </cell>
          <cell r="AI111">
            <v>0</v>
          </cell>
          <cell r="AR111">
            <v>0</v>
          </cell>
          <cell r="AS111">
            <v>0</v>
          </cell>
          <cell r="AX111" t="str">
            <v>Trái phiếu</v>
          </cell>
          <cell r="BS111">
            <v>0</v>
          </cell>
          <cell r="CB111">
            <v>0</v>
          </cell>
          <cell r="CO111" t="str">
            <v>Bonds</v>
          </cell>
          <cell r="DJ111">
            <v>0</v>
          </cell>
          <cell r="DS111">
            <v>0</v>
          </cell>
          <cell r="ED111" t="str">
            <v/>
          </cell>
          <cell r="EE111" t="str">
            <v>Trái phiếu</v>
          </cell>
          <cell r="EZ111">
            <v>0</v>
          </cell>
          <cell r="FI111">
            <v>0</v>
          </cell>
        </row>
        <row r="112">
          <cell r="E112" t="str">
            <v>Others</v>
          </cell>
          <cell r="Z112">
            <v>0</v>
          </cell>
          <cell r="AI112">
            <v>0</v>
          </cell>
          <cell r="AR112">
            <v>0</v>
          </cell>
          <cell r="AS112">
            <v>0</v>
          </cell>
          <cell r="AX112" t="str">
            <v>Khác</v>
          </cell>
          <cell r="BS112">
            <v>0</v>
          </cell>
          <cell r="CB112">
            <v>0</v>
          </cell>
          <cell r="CO112" t="str">
            <v>Others</v>
          </cell>
          <cell r="DJ112">
            <v>0</v>
          </cell>
          <cell r="DS112">
            <v>0</v>
          </cell>
          <cell r="ED112" t="str">
            <v/>
          </cell>
          <cell r="EE112" t="str">
            <v>Khác</v>
          </cell>
          <cell r="EZ112">
            <v>0</v>
          </cell>
          <cell r="FI112">
            <v>0</v>
          </cell>
        </row>
        <row r="113">
          <cell r="E113" t="str">
            <v>Total</v>
          </cell>
          <cell r="Z113">
            <v>0</v>
          </cell>
          <cell r="AI113">
            <v>0</v>
          </cell>
          <cell r="AX113" t="str">
            <v>Tổng cộng</v>
          </cell>
          <cell r="BS113">
            <v>0</v>
          </cell>
          <cell r="CB113">
            <v>0</v>
          </cell>
          <cell r="CO113" t="str">
            <v>Total</v>
          </cell>
          <cell r="DJ113">
            <v>0</v>
          </cell>
          <cell r="DS113">
            <v>0</v>
          </cell>
          <cell r="EE113" t="str">
            <v>Tổng cộng</v>
          </cell>
          <cell r="EZ113">
            <v>0</v>
          </cell>
          <cell r="FI113">
            <v>0</v>
          </cell>
        </row>
        <row r="114">
          <cell r="E114" t="str">
            <v>Checking point</v>
          </cell>
          <cell r="Z114">
            <v>0</v>
          </cell>
          <cell r="AI114">
            <v>0</v>
          </cell>
          <cell r="AX114" t="str">
            <v>Checking point</v>
          </cell>
          <cell r="BS114">
            <v>0</v>
          </cell>
          <cell r="CB114">
            <v>0</v>
          </cell>
          <cell r="CO114" t="str">
            <v>Checking point</v>
          </cell>
          <cell r="DJ114">
            <v>0</v>
          </cell>
          <cell r="DS114">
            <v>0</v>
          </cell>
          <cell r="ED114" t="str">
            <v/>
          </cell>
          <cell r="EE114" t="str">
            <v>Checking point</v>
          </cell>
          <cell r="EZ114">
            <v>0</v>
          </cell>
          <cell r="FI114">
            <v>0</v>
          </cell>
        </row>
        <row r="116">
          <cell r="E116" t="str">
            <v>Long-term</v>
          </cell>
          <cell r="AX116" t="str">
            <v>Dài hạn</v>
          </cell>
          <cell r="CO116" t="str">
            <v>Long-term</v>
          </cell>
          <cell r="EE116" t="str">
            <v>Dài hạn</v>
          </cell>
        </row>
        <row r="117">
          <cell r="E117" t="str">
            <v>Term deposit</v>
          </cell>
          <cell r="Z117">
            <v>0</v>
          </cell>
          <cell r="AI117">
            <v>0</v>
          </cell>
          <cell r="AR117">
            <v>0</v>
          </cell>
          <cell r="AS117">
            <v>0</v>
          </cell>
          <cell r="AX117" t="str">
            <v>Tiền gửi có kỳ hạn</v>
          </cell>
          <cell r="BS117">
            <v>0</v>
          </cell>
          <cell r="CB117">
            <v>0</v>
          </cell>
          <cell r="CO117" t="str">
            <v>Term deposit</v>
          </cell>
          <cell r="DJ117">
            <v>0</v>
          </cell>
          <cell r="DS117">
            <v>0</v>
          </cell>
          <cell r="ED117" t="str">
            <v/>
          </cell>
          <cell r="EE117" t="str">
            <v>Tiền gửi có kỳ hạn</v>
          </cell>
          <cell r="EZ117">
            <v>0</v>
          </cell>
          <cell r="FI117">
            <v>0</v>
          </cell>
        </row>
        <row r="118">
          <cell r="E118" t="str">
            <v>Bonds</v>
          </cell>
          <cell r="Z118">
            <v>0</v>
          </cell>
          <cell r="AI118">
            <v>0</v>
          </cell>
          <cell r="AR118">
            <v>0</v>
          </cell>
          <cell r="AS118">
            <v>0</v>
          </cell>
          <cell r="AX118" t="str">
            <v>Trái phiếu</v>
          </cell>
          <cell r="BS118">
            <v>0</v>
          </cell>
          <cell r="CB118">
            <v>0</v>
          </cell>
          <cell r="CO118" t="str">
            <v>Bonds</v>
          </cell>
          <cell r="DJ118">
            <v>0</v>
          </cell>
          <cell r="DS118">
            <v>0</v>
          </cell>
          <cell r="ED118" t="str">
            <v/>
          </cell>
          <cell r="EE118" t="str">
            <v>Trái phiếu</v>
          </cell>
          <cell r="EZ118">
            <v>0</v>
          </cell>
          <cell r="FI118">
            <v>0</v>
          </cell>
        </row>
        <row r="119">
          <cell r="E119" t="str">
            <v>Others</v>
          </cell>
          <cell r="Z119">
            <v>0</v>
          </cell>
          <cell r="AI119">
            <v>0</v>
          </cell>
          <cell r="AR119">
            <v>0</v>
          </cell>
          <cell r="AS119">
            <v>0</v>
          </cell>
          <cell r="AX119" t="str">
            <v>Khác</v>
          </cell>
          <cell r="BS119">
            <v>0</v>
          </cell>
          <cell r="CB119">
            <v>0</v>
          </cell>
          <cell r="CO119" t="str">
            <v>Others</v>
          </cell>
          <cell r="DJ119">
            <v>0</v>
          </cell>
          <cell r="DS119">
            <v>0</v>
          </cell>
          <cell r="ED119" t="str">
            <v/>
          </cell>
          <cell r="EE119" t="str">
            <v>Khác</v>
          </cell>
          <cell r="EZ119">
            <v>0</v>
          </cell>
          <cell r="FI119">
            <v>0</v>
          </cell>
        </row>
        <row r="120">
          <cell r="E120" t="str">
            <v>Total</v>
          </cell>
          <cell r="Z120">
            <v>0</v>
          </cell>
          <cell r="AI120">
            <v>0</v>
          </cell>
          <cell r="AX120" t="str">
            <v>Tổng cộng</v>
          </cell>
          <cell r="BS120">
            <v>0</v>
          </cell>
          <cell r="CB120">
            <v>0</v>
          </cell>
          <cell r="CO120" t="str">
            <v>Total</v>
          </cell>
          <cell r="DJ120">
            <v>0</v>
          </cell>
          <cell r="DS120">
            <v>0</v>
          </cell>
          <cell r="EE120" t="str">
            <v>Tổng cộng</v>
          </cell>
          <cell r="EZ120">
            <v>0</v>
          </cell>
          <cell r="FI120">
            <v>0</v>
          </cell>
        </row>
        <row r="121">
          <cell r="E121" t="str">
            <v>Checking point</v>
          </cell>
          <cell r="Z121">
            <v>0</v>
          </cell>
          <cell r="AI121">
            <v>0</v>
          </cell>
          <cell r="AX121" t="str">
            <v>Checking point</v>
          </cell>
          <cell r="BS121">
            <v>0</v>
          </cell>
          <cell r="CB121">
            <v>0</v>
          </cell>
          <cell r="CO121" t="str">
            <v>Checking point</v>
          </cell>
          <cell r="DJ121">
            <v>0</v>
          </cell>
          <cell r="DS121">
            <v>0</v>
          </cell>
          <cell r="ED121" t="str">
            <v/>
          </cell>
          <cell r="EE121" t="str">
            <v>Checking point</v>
          </cell>
          <cell r="EZ121">
            <v>0</v>
          </cell>
          <cell r="FI121">
            <v>0</v>
          </cell>
        </row>
        <row r="123">
          <cell r="D123" t="str">
            <v>(2*)</v>
          </cell>
          <cell r="E123" t="str">
            <v>Short-term deposit represent(s) deposit VND/USD with a term of 01 month at Joint Stock Commercial Bank for Foreign Trade of Vietnam - Ho Chi Minh City Branch; interest rate: 14% per annum.</v>
          </cell>
          <cell r="AW123" t="str">
            <v>(2*)</v>
          </cell>
          <cell r="AX123" t="str">
            <v>Tiền gửi ngắn hạn là khoản tiền gửi VND/USD có kỳ hạn 01 tháng tại Ngân hàng Thương mại Cổ phần Ngoại thương Việt Nam - Chi nhánh Thành phố Hồ Chí Minh; lãi suất: 14% / năm.</v>
          </cell>
          <cell r="CN123" t="str">
            <v>(2*)</v>
          </cell>
          <cell r="CO123" t="str">
            <v>Short-term deposit represent(s) deposit VND/USD with a term of 01 month at Joint Stock Commercial Bank for Foreign Trade of Vietnam - Ho Chi Minh City Branch; interest rate: 14% per annum.</v>
          </cell>
          <cell r="ED123" t="str">
            <v>(2*)</v>
          </cell>
          <cell r="EE123" t="str">
            <v>Tiền gửi ngắn hạn là khoản tiền gửi VND/USD có kỳ hạn 01 tháng tại Ngân hàng Thương mại Cổ phần Ngoại thương Việt Nam - Chi nhánh Thành phố Hồ Chí Minh; lãi suất: 14% / năm.</v>
          </cell>
        </row>
        <row r="126">
          <cell r="D126" t="str">
            <v>6.</v>
          </cell>
          <cell r="E126" t="str">
            <v>SHORT-TERM RECEIVABLES FROM CUSTOMERS</v>
          </cell>
          <cell r="AW126" t="str">
            <v>6.</v>
          </cell>
          <cell r="AX126" t="str">
            <v>PHẢI THU NGẮN HẠN CỦA KHÁCH HÀNG</v>
          </cell>
          <cell r="CN126" t="str">
            <v>6.</v>
          </cell>
          <cell r="CO126" t="str">
            <v>SHORT-TERM RECEIVABLES FROM CUSTOMERS</v>
          </cell>
          <cell r="ED126" t="str">
            <v>6.</v>
          </cell>
          <cell r="EE126" t="str">
            <v>PHẢI THU NGẮN HẠN CỦA KHÁCH HÀNG</v>
          </cell>
        </row>
        <row r="128">
          <cell r="E128" t="str">
            <v>Chi tiết các KH chiếm từ 10% tổng giá trị phải thu</v>
          </cell>
          <cell r="AX128" t="str">
            <v>Chi tiết các KH chiếm từ 10% tổng giá trị phải thu</v>
          </cell>
        </row>
        <row r="129">
          <cell r="Z129" t="str">
            <v>Ending bal'</v>
          </cell>
          <cell r="AI129" t="str">
            <v>Beginning bal'</v>
          </cell>
          <cell r="BS129" t="str">
            <v>Số cuối năm</v>
          </cell>
          <cell r="CB129" t="str">
            <v>Số đầu năm</v>
          </cell>
          <cell r="DJ129" t="str">
            <v>Ending bal'</v>
          </cell>
          <cell r="DS129" t="str">
            <v>Beginning bal'</v>
          </cell>
          <cell r="EZ129" t="str">
            <v>Số cuối năm</v>
          </cell>
          <cell r="FI129" t="str">
            <v>Số đầu năm</v>
          </cell>
        </row>
        <row r="131">
          <cell r="E131" t="str">
            <v>Short-term</v>
          </cell>
          <cell r="Z131">
            <v>0</v>
          </cell>
          <cell r="AI131">
            <v>0</v>
          </cell>
          <cell r="AX131" t="str">
            <v>Ngắn hạn</v>
          </cell>
          <cell r="BS131">
            <v>0</v>
          </cell>
          <cell r="CB131">
            <v>0</v>
          </cell>
          <cell r="CO131" t="str">
            <v>Short-term</v>
          </cell>
          <cell r="DJ131">
            <v>0</v>
          </cell>
          <cell r="DS131">
            <v>0</v>
          </cell>
          <cell r="EE131" t="str">
            <v>Ngắn hạn</v>
          </cell>
          <cell r="EZ131">
            <v>0</v>
          </cell>
          <cell r="FI131">
            <v>0</v>
          </cell>
        </row>
        <row r="132">
          <cell r="E132" t="str">
            <v>Related parties [Note 33]</v>
          </cell>
          <cell r="AX132" t="str">
            <v>Các bên liên quan [TM 33]</v>
          </cell>
          <cell r="CO132" t="str">
            <v>Related parties [Note 33]</v>
          </cell>
          <cell r="ED132" t="str">
            <v/>
          </cell>
          <cell r="EE132" t="str">
            <v>Các bên liên quan [TM 33]</v>
          </cell>
          <cell r="EZ132">
            <v>0</v>
          </cell>
          <cell r="FI132">
            <v>0</v>
          </cell>
        </row>
        <row r="133">
          <cell r="F133" t="str">
            <v>ABC Co. Ltd.</v>
          </cell>
          <cell r="Z133">
            <v>0</v>
          </cell>
          <cell r="AI133">
            <v>0</v>
          </cell>
          <cell r="AR133">
            <v>0</v>
          </cell>
          <cell r="AS133">
            <v>0</v>
          </cell>
          <cell r="AY133" t="str">
            <v>Công ty TNHH ABC</v>
          </cell>
          <cell r="BS133">
            <v>0</v>
          </cell>
          <cell r="CB133">
            <v>0</v>
          </cell>
          <cell r="CP133" t="str">
            <v>ABC Co. Ltd.</v>
          </cell>
          <cell r="DJ133">
            <v>0</v>
          </cell>
          <cell r="DS133">
            <v>0</v>
          </cell>
          <cell r="ED133" t="str">
            <v/>
          </cell>
          <cell r="EF133" t="str">
            <v>Công ty TNHH ABC</v>
          </cell>
          <cell r="EZ133">
            <v>0</v>
          </cell>
          <cell r="FI133">
            <v>0</v>
          </cell>
        </row>
        <row r="134">
          <cell r="F134" t="str">
            <v>XYZ JSC.</v>
          </cell>
          <cell r="Z134">
            <v>0</v>
          </cell>
          <cell r="AI134">
            <v>0</v>
          </cell>
          <cell r="AY134" t="str">
            <v>Công ty cổ phần XYZ</v>
          </cell>
          <cell r="BS134">
            <v>0</v>
          </cell>
          <cell r="CB134">
            <v>0</v>
          </cell>
          <cell r="CP134" t="str">
            <v>XYZ JSC.</v>
          </cell>
          <cell r="DJ134">
            <v>0</v>
          </cell>
          <cell r="DS134">
            <v>0</v>
          </cell>
          <cell r="ED134" t="str">
            <v/>
          </cell>
          <cell r="EF134" t="str">
            <v>Công ty cổ phần XYZ</v>
          </cell>
          <cell r="EZ134">
            <v>0</v>
          </cell>
          <cell r="FI134">
            <v>0</v>
          </cell>
        </row>
        <row r="135">
          <cell r="F135" t="str">
            <v>Other related parties</v>
          </cell>
          <cell r="Z135">
            <v>0</v>
          </cell>
          <cell r="AI135">
            <v>0</v>
          </cell>
          <cell r="AY135" t="str">
            <v>Các bên liên quan khác</v>
          </cell>
          <cell r="BS135">
            <v>0</v>
          </cell>
          <cell r="CB135">
            <v>0</v>
          </cell>
          <cell r="CP135" t="str">
            <v>Other related parties</v>
          </cell>
          <cell r="DJ135">
            <v>0</v>
          </cell>
          <cell r="DS135">
            <v>0</v>
          </cell>
          <cell r="ED135" t="str">
            <v/>
          </cell>
          <cell r="EF135" t="str">
            <v>Các bên liên quan khác</v>
          </cell>
          <cell r="EZ135">
            <v>0</v>
          </cell>
          <cell r="FI135">
            <v>0</v>
          </cell>
        </row>
        <row r="136">
          <cell r="E136" t="str">
            <v>Third parties</v>
          </cell>
          <cell r="AX136" t="str">
            <v>Các bên thứ ba</v>
          </cell>
          <cell r="CO136" t="str">
            <v>Third parties</v>
          </cell>
          <cell r="EE136" t="str">
            <v>Các bên thứ ba</v>
          </cell>
        </row>
        <row r="137">
          <cell r="F137" t="str">
            <v>ABC Co. Ltd.</v>
          </cell>
          <cell r="Z137">
            <v>0</v>
          </cell>
          <cell r="AI137">
            <v>0</v>
          </cell>
          <cell r="AY137" t="str">
            <v>Công ty TNHH ABC</v>
          </cell>
          <cell r="BS137">
            <v>0</v>
          </cell>
          <cell r="CB137">
            <v>0</v>
          </cell>
          <cell r="CP137" t="str">
            <v>ABC Co. Ltd.</v>
          </cell>
          <cell r="DJ137">
            <v>0</v>
          </cell>
          <cell r="DS137">
            <v>0</v>
          </cell>
          <cell r="EF137" t="str">
            <v>Công ty TNHH ABC</v>
          </cell>
          <cell r="EZ137">
            <v>0</v>
          </cell>
          <cell r="FI137">
            <v>0</v>
          </cell>
        </row>
        <row r="138">
          <cell r="F138" t="str">
            <v>XYZ JSC.</v>
          </cell>
          <cell r="Z138">
            <v>0</v>
          </cell>
          <cell r="AI138">
            <v>0</v>
          </cell>
          <cell r="AY138" t="str">
            <v>Công ty cổ phần XYZ</v>
          </cell>
          <cell r="BS138">
            <v>0</v>
          </cell>
          <cell r="CB138">
            <v>0</v>
          </cell>
          <cell r="CP138" t="str">
            <v>XYZ JSC.</v>
          </cell>
          <cell r="DJ138">
            <v>0</v>
          </cell>
          <cell r="DS138">
            <v>0</v>
          </cell>
          <cell r="EF138" t="str">
            <v>Công ty cổ phần XYZ</v>
          </cell>
          <cell r="EZ138">
            <v>0</v>
          </cell>
          <cell r="FI138">
            <v>0</v>
          </cell>
        </row>
        <row r="139">
          <cell r="F139" t="str">
            <v>Other companies</v>
          </cell>
          <cell r="Z139">
            <v>0</v>
          </cell>
          <cell r="AI139">
            <v>0</v>
          </cell>
          <cell r="AY139" t="str">
            <v>Các công ty khác</v>
          </cell>
          <cell r="BS139">
            <v>0</v>
          </cell>
          <cell r="CB139">
            <v>0</v>
          </cell>
          <cell r="CP139" t="str">
            <v>Other companies</v>
          </cell>
          <cell r="DJ139">
            <v>0</v>
          </cell>
          <cell r="DS139">
            <v>0</v>
          </cell>
          <cell r="EF139" t="str">
            <v>Các công ty khác</v>
          </cell>
          <cell r="EZ139">
            <v>0</v>
          </cell>
          <cell r="FI139">
            <v>0</v>
          </cell>
        </row>
        <row r="141">
          <cell r="E141" t="str">
            <v>Long-term</v>
          </cell>
          <cell r="Z141">
            <v>0</v>
          </cell>
          <cell r="AI141">
            <v>0</v>
          </cell>
          <cell r="AX141" t="str">
            <v>Dài hạn</v>
          </cell>
          <cell r="BS141">
            <v>0</v>
          </cell>
          <cell r="CB141">
            <v>0</v>
          </cell>
          <cell r="CO141" t="str">
            <v>Long-term</v>
          </cell>
          <cell r="DJ141">
            <v>0</v>
          </cell>
          <cell r="DS141">
            <v>0</v>
          </cell>
          <cell r="EE141" t="str">
            <v>Dài hạn</v>
          </cell>
          <cell r="EZ141">
            <v>0</v>
          </cell>
          <cell r="FI141">
            <v>0</v>
          </cell>
        </row>
        <row r="142">
          <cell r="E142" t="str">
            <v>Related parties [Note 33]</v>
          </cell>
          <cell r="Z142">
            <v>0</v>
          </cell>
          <cell r="AI142">
            <v>0</v>
          </cell>
          <cell r="AX142" t="str">
            <v>Các bên liên quan [TM 33]</v>
          </cell>
          <cell r="BS142">
            <v>0</v>
          </cell>
          <cell r="CB142">
            <v>0</v>
          </cell>
          <cell r="CO142" t="str">
            <v>Related parties [Note 33]</v>
          </cell>
          <cell r="DJ142">
            <v>0</v>
          </cell>
          <cell r="DS142">
            <v>0</v>
          </cell>
          <cell r="EE142" t="str">
            <v>Các bên liên quan [TM 33]</v>
          </cell>
          <cell r="EZ142">
            <v>0</v>
          </cell>
          <cell r="FI142">
            <v>0</v>
          </cell>
        </row>
        <row r="143">
          <cell r="F143" t="str">
            <v>ABC Co. Ltd.</v>
          </cell>
          <cell r="Z143">
            <v>0</v>
          </cell>
          <cell r="AI143">
            <v>0</v>
          </cell>
          <cell r="AY143" t="str">
            <v>Công ty TNHH ABC</v>
          </cell>
          <cell r="BS143">
            <v>0</v>
          </cell>
          <cell r="CB143">
            <v>0</v>
          </cell>
          <cell r="CP143" t="str">
            <v>ABC Co. Ltd.</v>
          </cell>
          <cell r="DJ143">
            <v>0</v>
          </cell>
          <cell r="DS143">
            <v>0</v>
          </cell>
          <cell r="EF143" t="str">
            <v>Công ty TNHH ABC</v>
          </cell>
          <cell r="EZ143">
            <v>0</v>
          </cell>
          <cell r="FI143">
            <v>0</v>
          </cell>
        </row>
        <row r="144">
          <cell r="F144" t="str">
            <v>XYZ JSC.</v>
          </cell>
          <cell r="Z144">
            <v>0</v>
          </cell>
          <cell r="AI144">
            <v>0</v>
          </cell>
          <cell r="AY144" t="str">
            <v>Công ty cổ phần XYZ</v>
          </cell>
          <cell r="BS144">
            <v>0</v>
          </cell>
          <cell r="CB144">
            <v>0</v>
          </cell>
          <cell r="CP144" t="str">
            <v>XYZ JSC.</v>
          </cell>
          <cell r="DJ144">
            <v>0</v>
          </cell>
          <cell r="DS144">
            <v>0</v>
          </cell>
          <cell r="EF144" t="str">
            <v>Công ty cổ phần XYZ</v>
          </cell>
          <cell r="EZ144">
            <v>0</v>
          </cell>
          <cell r="FI144">
            <v>0</v>
          </cell>
        </row>
        <row r="145">
          <cell r="F145" t="str">
            <v>Other related parties</v>
          </cell>
          <cell r="Z145">
            <v>0</v>
          </cell>
          <cell r="AI145">
            <v>0</v>
          </cell>
          <cell r="AY145" t="str">
            <v>Các bên liên quan khác</v>
          </cell>
          <cell r="BS145">
            <v>0</v>
          </cell>
          <cell r="CB145">
            <v>0</v>
          </cell>
          <cell r="CP145" t="str">
            <v>Other related parties</v>
          </cell>
          <cell r="DJ145">
            <v>0</v>
          </cell>
          <cell r="DS145">
            <v>0</v>
          </cell>
          <cell r="EF145" t="str">
            <v>Các bên liên quan khác</v>
          </cell>
          <cell r="EZ145">
            <v>0</v>
          </cell>
          <cell r="FI145">
            <v>0</v>
          </cell>
        </row>
        <row r="146">
          <cell r="E146" t="str">
            <v>Third parties</v>
          </cell>
          <cell r="AX146" t="str">
            <v>Các bên thứ ba</v>
          </cell>
          <cell r="CO146" t="str">
            <v>Third parties</v>
          </cell>
          <cell r="EE146" t="str">
            <v>Các bên thứ ba</v>
          </cell>
        </row>
        <row r="147">
          <cell r="F147" t="str">
            <v>ABC Co. Ltd.</v>
          </cell>
          <cell r="Z147">
            <v>0</v>
          </cell>
          <cell r="AI147">
            <v>0</v>
          </cell>
          <cell r="AY147" t="str">
            <v>Công ty TNHH ABC</v>
          </cell>
          <cell r="BS147">
            <v>0</v>
          </cell>
          <cell r="CB147">
            <v>0</v>
          </cell>
          <cell r="CP147" t="str">
            <v>ABC Co. Ltd.</v>
          </cell>
          <cell r="DJ147">
            <v>0</v>
          </cell>
          <cell r="DS147">
            <v>0</v>
          </cell>
          <cell r="EF147" t="str">
            <v>Công ty TNHH ABC</v>
          </cell>
          <cell r="EZ147">
            <v>0</v>
          </cell>
          <cell r="FI147">
            <v>0</v>
          </cell>
        </row>
        <row r="148">
          <cell r="F148" t="str">
            <v>XYZ JSC.</v>
          </cell>
          <cell r="Z148">
            <v>0</v>
          </cell>
          <cell r="AI148">
            <v>0</v>
          </cell>
          <cell r="AY148" t="str">
            <v>Công ty cổ phần XYZ</v>
          </cell>
          <cell r="BS148">
            <v>0</v>
          </cell>
          <cell r="CB148">
            <v>0</v>
          </cell>
          <cell r="CP148" t="str">
            <v>XYZ JSC.</v>
          </cell>
          <cell r="DJ148">
            <v>0</v>
          </cell>
          <cell r="DS148">
            <v>0</v>
          </cell>
          <cell r="EF148" t="str">
            <v>Công ty cổ phần XYZ</v>
          </cell>
          <cell r="EZ148">
            <v>0</v>
          </cell>
          <cell r="FI148">
            <v>0</v>
          </cell>
        </row>
        <row r="149">
          <cell r="F149" t="str">
            <v>Other companies</v>
          </cell>
          <cell r="Z149">
            <v>0</v>
          </cell>
          <cell r="AI149">
            <v>0</v>
          </cell>
          <cell r="AY149" t="str">
            <v>Các công ty khác</v>
          </cell>
          <cell r="BS149">
            <v>0</v>
          </cell>
          <cell r="CB149">
            <v>0</v>
          </cell>
          <cell r="CP149" t="str">
            <v>Other companies</v>
          </cell>
          <cell r="DJ149">
            <v>0</v>
          </cell>
          <cell r="DS149">
            <v>0</v>
          </cell>
          <cell r="EF149" t="str">
            <v>Các công ty khác</v>
          </cell>
          <cell r="EZ149">
            <v>0</v>
          </cell>
          <cell r="FI149">
            <v>0</v>
          </cell>
        </row>
        <row r="151">
          <cell r="E151" t="str">
            <v>Total</v>
          </cell>
          <cell r="Z151">
            <v>0</v>
          </cell>
          <cell r="AI151">
            <v>0</v>
          </cell>
          <cell r="AX151" t="str">
            <v>Tổng cộng</v>
          </cell>
          <cell r="BS151">
            <v>0</v>
          </cell>
          <cell r="CB151">
            <v>0</v>
          </cell>
          <cell r="CO151" t="str">
            <v>Total</v>
          </cell>
          <cell r="DJ151">
            <v>0</v>
          </cell>
          <cell r="DS151">
            <v>0</v>
          </cell>
          <cell r="EE151" t="str">
            <v>Tổng cộng</v>
          </cell>
          <cell r="EZ151">
            <v>0</v>
          </cell>
          <cell r="FI151">
            <v>0</v>
          </cell>
        </row>
        <row r="152">
          <cell r="E152" t="str">
            <v>Checking point</v>
          </cell>
          <cell r="Z152">
            <v>553057697</v>
          </cell>
          <cell r="AI152">
            <v>787548208</v>
          </cell>
          <cell r="AX152" t="str">
            <v>Checking point</v>
          </cell>
          <cell r="BS152">
            <v>553057697</v>
          </cell>
          <cell r="CB152">
            <v>787548208</v>
          </cell>
          <cell r="CO152" t="str">
            <v>Checking point</v>
          </cell>
          <cell r="DJ152">
            <v>12582062607</v>
          </cell>
          <cell r="DS152">
            <v>17672581788</v>
          </cell>
          <cell r="ED152" t="str">
            <v/>
          </cell>
          <cell r="EE152" t="str">
            <v>Checking point</v>
          </cell>
          <cell r="EZ152">
            <v>12582062607</v>
          </cell>
          <cell r="FI152">
            <v>17672581788</v>
          </cell>
        </row>
        <row r="154">
          <cell r="D154" t="str">
            <v>7.</v>
          </cell>
          <cell r="E154" t="str">
            <v>SHORT-TERM ADVANCES TO SUPPLIERS</v>
          </cell>
          <cell r="AW154" t="str">
            <v>7.</v>
          </cell>
          <cell r="AX154" t="str">
            <v>TRẢ TRƯỚC CHO NGƯỜI BÁN NGẮN HẠN</v>
          </cell>
          <cell r="CN154" t="str">
            <v>7.</v>
          </cell>
          <cell r="CO154" t="str">
            <v>SHORT-TERM ADVANCES TO SUPPLIERS</v>
          </cell>
          <cell r="ED154" t="str">
            <v>7.</v>
          </cell>
          <cell r="EE154" t="str">
            <v>TRẢ TRƯỚC CHO NGƯỜI BÁN NGẮN HẠN</v>
          </cell>
        </row>
        <row r="156">
          <cell r="E156" t="str">
            <v>Chi tiết các KH chiếm từ 10% tổng giá trị phải thu</v>
          </cell>
          <cell r="AX156" t="str">
            <v>Chi tiết các KH chiếm từ 10% tổng giá trị phải thu</v>
          </cell>
        </row>
        <row r="157">
          <cell r="Z157" t="str">
            <v>Ending bal'</v>
          </cell>
          <cell r="AI157" t="str">
            <v>Beginning bal'</v>
          </cell>
          <cell r="BS157" t="str">
            <v>Số cuối năm</v>
          </cell>
          <cell r="CB157" t="str">
            <v>Số đầu năm</v>
          </cell>
          <cell r="DJ157" t="str">
            <v>Ending bal'</v>
          </cell>
          <cell r="DS157" t="str">
            <v>Beginning bal'</v>
          </cell>
          <cell r="EZ157" t="str">
            <v>Số cuối năm</v>
          </cell>
          <cell r="FI157" t="str">
            <v>Số đầu năm</v>
          </cell>
        </row>
        <row r="159">
          <cell r="E159" t="str">
            <v>Short-term</v>
          </cell>
          <cell r="Z159">
            <v>0</v>
          </cell>
          <cell r="AI159">
            <v>0</v>
          </cell>
          <cell r="AX159" t="str">
            <v>Ngắn hạn</v>
          </cell>
          <cell r="BS159">
            <v>0</v>
          </cell>
          <cell r="CB159">
            <v>0</v>
          </cell>
          <cell r="CO159" t="str">
            <v>Short-term</v>
          </cell>
          <cell r="DJ159">
            <v>0</v>
          </cell>
          <cell r="DS159">
            <v>0</v>
          </cell>
          <cell r="EE159" t="str">
            <v>Ngắn hạn</v>
          </cell>
          <cell r="EZ159">
            <v>0</v>
          </cell>
          <cell r="FI159">
            <v>0</v>
          </cell>
        </row>
        <row r="160">
          <cell r="E160" t="str">
            <v>Related parties</v>
          </cell>
          <cell r="Z160">
            <v>0</v>
          </cell>
          <cell r="AI160">
            <v>0</v>
          </cell>
          <cell r="AR160">
            <v>0</v>
          </cell>
          <cell r="AS160">
            <v>0</v>
          </cell>
          <cell r="AX160" t="str">
            <v>Các bên liên quan</v>
          </cell>
          <cell r="BS160">
            <v>0</v>
          </cell>
          <cell r="CB160">
            <v>0</v>
          </cell>
          <cell r="CO160" t="str">
            <v>Related parties</v>
          </cell>
          <cell r="DJ160">
            <v>0</v>
          </cell>
          <cell r="DS160">
            <v>0</v>
          </cell>
          <cell r="ED160" t="str">
            <v/>
          </cell>
          <cell r="EE160" t="str">
            <v>Các bên liên quan</v>
          </cell>
          <cell r="EZ160">
            <v>0</v>
          </cell>
          <cell r="FI160">
            <v>0</v>
          </cell>
        </row>
        <row r="161">
          <cell r="F161" t="str">
            <v>ABC Co. Ltd.</v>
          </cell>
          <cell r="Z161">
            <v>0</v>
          </cell>
          <cell r="AI161">
            <v>0</v>
          </cell>
          <cell r="AR161">
            <v>0</v>
          </cell>
          <cell r="AS161">
            <v>0</v>
          </cell>
          <cell r="AY161" t="str">
            <v>Công ty TNHH ABC</v>
          </cell>
          <cell r="BS161">
            <v>0</v>
          </cell>
          <cell r="CB161">
            <v>0</v>
          </cell>
          <cell r="CP161" t="str">
            <v>ABC Co. Ltd.</v>
          </cell>
          <cell r="DJ161">
            <v>0</v>
          </cell>
          <cell r="DS161">
            <v>0</v>
          </cell>
          <cell r="ED161" t="str">
            <v/>
          </cell>
          <cell r="EF161" t="str">
            <v>Công ty TNHH ABC</v>
          </cell>
          <cell r="EZ161">
            <v>0</v>
          </cell>
          <cell r="FI161">
            <v>0</v>
          </cell>
        </row>
        <row r="162">
          <cell r="F162" t="str">
            <v>XYZ JSC.</v>
          </cell>
          <cell r="Z162">
            <v>0</v>
          </cell>
          <cell r="AI162">
            <v>0</v>
          </cell>
          <cell r="AR162">
            <v>0</v>
          </cell>
          <cell r="AS162">
            <v>0</v>
          </cell>
          <cell r="AY162" t="str">
            <v>Công ty cổ phần XYZ</v>
          </cell>
          <cell r="BS162">
            <v>0</v>
          </cell>
          <cell r="CB162">
            <v>0</v>
          </cell>
          <cell r="CP162" t="str">
            <v>XYZ JSC.</v>
          </cell>
          <cell r="DJ162">
            <v>0</v>
          </cell>
          <cell r="DS162">
            <v>0</v>
          </cell>
          <cell r="ED162" t="str">
            <v/>
          </cell>
          <cell r="EF162" t="str">
            <v>Công ty cổ phần XYZ</v>
          </cell>
          <cell r="EZ162">
            <v>0</v>
          </cell>
          <cell r="FI162">
            <v>0</v>
          </cell>
        </row>
        <row r="163">
          <cell r="F163" t="str">
            <v>Other related parties</v>
          </cell>
          <cell r="Z163">
            <v>0</v>
          </cell>
          <cell r="AI163">
            <v>0</v>
          </cell>
          <cell r="AR163">
            <v>0</v>
          </cell>
          <cell r="AS163">
            <v>0</v>
          </cell>
          <cell r="AY163" t="str">
            <v>Các bên liên quan khác</v>
          </cell>
          <cell r="BS163">
            <v>0</v>
          </cell>
          <cell r="CB163">
            <v>0</v>
          </cell>
          <cell r="CP163" t="str">
            <v>Other related parties</v>
          </cell>
          <cell r="DJ163">
            <v>0</v>
          </cell>
          <cell r="DS163">
            <v>0</v>
          </cell>
          <cell r="ED163" t="str">
            <v/>
          </cell>
          <cell r="EF163" t="str">
            <v>Các bên liên quan khác</v>
          </cell>
          <cell r="EZ163">
            <v>0</v>
          </cell>
          <cell r="FI163">
            <v>0</v>
          </cell>
        </row>
        <row r="164">
          <cell r="E164" t="str">
            <v>Third parties</v>
          </cell>
          <cell r="Z164">
            <v>0</v>
          </cell>
          <cell r="AI164">
            <v>0</v>
          </cell>
          <cell r="AR164">
            <v>0</v>
          </cell>
          <cell r="AS164">
            <v>0</v>
          </cell>
          <cell r="AX164" t="str">
            <v>Các bên thứ ba</v>
          </cell>
          <cell r="BS164">
            <v>0</v>
          </cell>
          <cell r="CB164">
            <v>0</v>
          </cell>
          <cell r="CO164" t="str">
            <v>Third parties</v>
          </cell>
          <cell r="DJ164">
            <v>0</v>
          </cell>
          <cell r="DS164">
            <v>0</v>
          </cell>
          <cell r="ED164" t="str">
            <v/>
          </cell>
          <cell r="EE164" t="str">
            <v>Các bên thứ ba</v>
          </cell>
          <cell r="EZ164">
            <v>0</v>
          </cell>
          <cell r="FI164">
            <v>0</v>
          </cell>
        </row>
        <row r="165">
          <cell r="F165" t="str">
            <v>ABC Co. Ltd.</v>
          </cell>
          <cell r="Z165">
            <v>0</v>
          </cell>
          <cell r="AI165">
            <v>0</v>
          </cell>
          <cell r="AR165">
            <v>0</v>
          </cell>
          <cell r="AS165">
            <v>0</v>
          </cell>
          <cell r="AY165" t="str">
            <v>Công ty TNHH ABC</v>
          </cell>
          <cell r="BS165">
            <v>0</v>
          </cell>
          <cell r="CB165">
            <v>0</v>
          </cell>
          <cell r="CP165" t="str">
            <v>ABC Co. Ltd.</v>
          </cell>
          <cell r="DJ165">
            <v>0</v>
          </cell>
          <cell r="DS165">
            <v>0</v>
          </cell>
          <cell r="ED165" t="str">
            <v/>
          </cell>
          <cell r="EF165" t="str">
            <v>Công ty TNHH ABC</v>
          </cell>
          <cell r="EZ165">
            <v>0</v>
          </cell>
          <cell r="FI165">
            <v>0</v>
          </cell>
        </row>
        <row r="166">
          <cell r="F166" t="str">
            <v>XYZ JSC.</v>
          </cell>
          <cell r="Z166">
            <v>0</v>
          </cell>
          <cell r="AI166">
            <v>0</v>
          </cell>
          <cell r="AR166">
            <v>0</v>
          </cell>
          <cell r="AS166">
            <v>0</v>
          </cell>
          <cell r="AY166" t="str">
            <v>Công ty cổ phần XYZ</v>
          </cell>
          <cell r="BS166">
            <v>0</v>
          </cell>
          <cell r="CB166">
            <v>0</v>
          </cell>
          <cell r="CP166" t="str">
            <v>XYZ JSC.</v>
          </cell>
          <cell r="DJ166">
            <v>0</v>
          </cell>
          <cell r="DS166">
            <v>0</v>
          </cell>
          <cell r="ED166" t="str">
            <v/>
          </cell>
          <cell r="EF166" t="str">
            <v>Công ty cổ phần XYZ</v>
          </cell>
          <cell r="EZ166">
            <v>0</v>
          </cell>
          <cell r="FI166">
            <v>0</v>
          </cell>
        </row>
        <row r="167">
          <cell r="F167" t="str">
            <v>Other companies</v>
          </cell>
          <cell r="Z167">
            <v>0</v>
          </cell>
          <cell r="AI167">
            <v>0</v>
          </cell>
          <cell r="AR167">
            <v>0</v>
          </cell>
          <cell r="AS167">
            <v>0</v>
          </cell>
          <cell r="AY167" t="str">
            <v>Các công ty khác</v>
          </cell>
          <cell r="BS167">
            <v>0</v>
          </cell>
          <cell r="CB167">
            <v>0</v>
          </cell>
          <cell r="CP167" t="str">
            <v>Other companies</v>
          </cell>
          <cell r="DJ167">
            <v>0</v>
          </cell>
          <cell r="DS167">
            <v>0</v>
          </cell>
          <cell r="ED167" t="str">
            <v/>
          </cell>
          <cell r="EF167" t="str">
            <v>Các công ty khác</v>
          </cell>
          <cell r="EZ167">
            <v>0</v>
          </cell>
          <cell r="FI167">
            <v>0</v>
          </cell>
        </row>
        <row r="169">
          <cell r="E169" t="str">
            <v>Long-term</v>
          </cell>
          <cell r="Z169">
            <v>0</v>
          </cell>
          <cell r="AI169">
            <v>0</v>
          </cell>
          <cell r="AX169" t="str">
            <v>Dài hạn</v>
          </cell>
          <cell r="BS169">
            <v>0</v>
          </cell>
          <cell r="CB169">
            <v>0</v>
          </cell>
          <cell r="CO169" t="str">
            <v>Long-term</v>
          </cell>
          <cell r="DJ169">
            <v>0</v>
          </cell>
          <cell r="DS169">
            <v>0</v>
          </cell>
          <cell r="ED169" t="str">
            <v/>
          </cell>
          <cell r="EE169" t="str">
            <v>Dài hạn</v>
          </cell>
          <cell r="EZ169">
            <v>0</v>
          </cell>
          <cell r="FI169">
            <v>0</v>
          </cell>
        </row>
        <row r="170">
          <cell r="E170" t="str">
            <v>Related parties</v>
          </cell>
          <cell r="Z170">
            <v>0</v>
          </cell>
          <cell r="AI170">
            <v>0</v>
          </cell>
          <cell r="AX170" t="str">
            <v>Các bên liên quan</v>
          </cell>
          <cell r="BS170">
            <v>0</v>
          </cell>
          <cell r="CB170">
            <v>0</v>
          </cell>
          <cell r="CO170" t="str">
            <v>Related parties</v>
          </cell>
          <cell r="DJ170">
            <v>0</v>
          </cell>
          <cell r="DS170">
            <v>0</v>
          </cell>
          <cell r="ED170" t="str">
            <v/>
          </cell>
          <cell r="EE170" t="str">
            <v>Các bên liên quan</v>
          </cell>
          <cell r="EZ170">
            <v>0</v>
          </cell>
          <cell r="FI170">
            <v>0</v>
          </cell>
        </row>
        <row r="171">
          <cell r="F171" t="str">
            <v>ABC Co. Ltd.</v>
          </cell>
          <cell r="Z171">
            <v>0</v>
          </cell>
          <cell r="AI171">
            <v>0</v>
          </cell>
          <cell r="AY171" t="str">
            <v>Công ty TNHH ABC</v>
          </cell>
          <cell r="BS171">
            <v>0</v>
          </cell>
          <cell r="CB171">
            <v>0</v>
          </cell>
          <cell r="CO171" t="str">
            <v/>
          </cell>
          <cell r="CP171" t="str">
            <v>ABC Co. Ltd.</v>
          </cell>
          <cell r="DJ171">
            <v>0</v>
          </cell>
          <cell r="DS171">
            <v>0</v>
          </cell>
          <cell r="ED171" t="str">
            <v/>
          </cell>
          <cell r="EE171" t="str">
            <v/>
          </cell>
          <cell r="EF171" t="str">
            <v>Công ty TNHH ABC</v>
          </cell>
          <cell r="EZ171">
            <v>0</v>
          </cell>
          <cell r="FI171">
            <v>0</v>
          </cell>
        </row>
        <row r="172">
          <cell r="F172" t="str">
            <v>XYZ JSC.</v>
          </cell>
          <cell r="Z172">
            <v>0</v>
          </cell>
          <cell r="AI172">
            <v>0</v>
          </cell>
          <cell r="AY172" t="str">
            <v>Công ty cổ phần XYZ</v>
          </cell>
          <cell r="BS172">
            <v>0</v>
          </cell>
          <cell r="CB172">
            <v>0</v>
          </cell>
          <cell r="CO172" t="str">
            <v/>
          </cell>
          <cell r="CP172" t="str">
            <v>XYZ JSC.</v>
          </cell>
          <cell r="DJ172">
            <v>0</v>
          </cell>
          <cell r="DS172">
            <v>0</v>
          </cell>
          <cell r="ED172" t="str">
            <v/>
          </cell>
          <cell r="EE172" t="str">
            <v/>
          </cell>
          <cell r="EF172" t="str">
            <v>Công ty cổ phần XYZ</v>
          </cell>
          <cell r="EZ172">
            <v>0</v>
          </cell>
          <cell r="FI172">
            <v>0</v>
          </cell>
        </row>
        <row r="173">
          <cell r="F173" t="str">
            <v>Other related parties</v>
          </cell>
          <cell r="Z173">
            <v>0</v>
          </cell>
          <cell r="AI173">
            <v>0</v>
          </cell>
          <cell r="AY173" t="str">
            <v>Các bên liên quan khác</v>
          </cell>
          <cell r="BS173">
            <v>0</v>
          </cell>
          <cell r="CB173">
            <v>0</v>
          </cell>
          <cell r="CO173" t="str">
            <v/>
          </cell>
          <cell r="CP173" t="str">
            <v>Other related parties</v>
          </cell>
          <cell r="DJ173">
            <v>0</v>
          </cell>
          <cell r="DS173">
            <v>0</v>
          </cell>
          <cell r="ED173" t="str">
            <v/>
          </cell>
          <cell r="EE173" t="str">
            <v/>
          </cell>
          <cell r="EF173" t="str">
            <v>Các bên liên quan khác</v>
          </cell>
          <cell r="EZ173">
            <v>0</v>
          </cell>
          <cell r="FI173">
            <v>0</v>
          </cell>
        </row>
        <row r="174">
          <cell r="E174" t="str">
            <v>Third parties</v>
          </cell>
          <cell r="Z174">
            <v>0</v>
          </cell>
          <cell r="AI174">
            <v>0</v>
          </cell>
          <cell r="AX174" t="str">
            <v>Các bên thứ ba</v>
          </cell>
          <cell r="BS174">
            <v>0</v>
          </cell>
          <cell r="CB174">
            <v>0</v>
          </cell>
          <cell r="CO174" t="str">
            <v>Third parties</v>
          </cell>
          <cell r="DJ174">
            <v>0</v>
          </cell>
          <cell r="DS174">
            <v>0</v>
          </cell>
          <cell r="ED174" t="str">
            <v/>
          </cell>
          <cell r="EE174" t="str">
            <v>Các bên thứ ba</v>
          </cell>
          <cell r="EZ174">
            <v>0</v>
          </cell>
          <cell r="FI174">
            <v>0</v>
          </cell>
        </row>
        <row r="175">
          <cell r="F175" t="str">
            <v>ABC Co. Ltd.</v>
          </cell>
          <cell r="Z175">
            <v>0</v>
          </cell>
          <cell r="AI175">
            <v>0</v>
          </cell>
          <cell r="AY175" t="str">
            <v>Công ty TNHH ABC</v>
          </cell>
          <cell r="BS175">
            <v>0</v>
          </cell>
          <cell r="CB175">
            <v>0</v>
          </cell>
          <cell r="CP175" t="str">
            <v>ABC Co. Ltd.</v>
          </cell>
          <cell r="DJ175">
            <v>0</v>
          </cell>
          <cell r="DS175">
            <v>0</v>
          </cell>
          <cell r="ED175" t="str">
            <v/>
          </cell>
          <cell r="EF175" t="str">
            <v>Công ty TNHH ABC</v>
          </cell>
          <cell r="EZ175">
            <v>0</v>
          </cell>
          <cell r="FI175">
            <v>0</v>
          </cell>
        </row>
        <row r="176">
          <cell r="F176" t="str">
            <v>XYZ JSC.</v>
          </cell>
          <cell r="Z176">
            <v>0</v>
          </cell>
          <cell r="AI176">
            <v>0</v>
          </cell>
          <cell r="AY176" t="str">
            <v>Công ty cổ phần XYZ</v>
          </cell>
          <cell r="BS176">
            <v>0</v>
          </cell>
          <cell r="CB176">
            <v>0</v>
          </cell>
          <cell r="CP176" t="str">
            <v>XYZ JSC.</v>
          </cell>
          <cell r="DJ176">
            <v>0</v>
          </cell>
          <cell r="DS176">
            <v>0</v>
          </cell>
          <cell r="ED176" t="str">
            <v/>
          </cell>
          <cell r="EF176" t="str">
            <v>Công ty cổ phần XYZ</v>
          </cell>
          <cell r="EZ176">
            <v>0</v>
          </cell>
          <cell r="FI176">
            <v>0</v>
          </cell>
        </row>
        <row r="177">
          <cell r="F177" t="str">
            <v>Other companies</v>
          </cell>
          <cell r="Z177">
            <v>0</v>
          </cell>
          <cell r="AI177">
            <v>0</v>
          </cell>
          <cell r="AY177" t="str">
            <v>Các công ty khác</v>
          </cell>
          <cell r="BS177">
            <v>0</v>
          </cell>
          <cell r="CB177">
            <v>0</v>
          </cell>
          <cell r="CP177" t="str">
            <v>Other companies</v>
          </cell>
          <cell r="DJ177">
            <v>0</v>
          </cell>
          <cell r="DS177">
            <v>0</v>
          </cell>
          <cell r="ED177" t="str">
            <v/>
          </cell>
          <cell r="EF177" t="str">
            <v>Các công ty khác</v>
          </cell>
          <cell r="EZ177">
            <v>0</v>
          </cell>
          <cell r="FI177">
            <v>0</v>
          </cell>
        </row>
        <row r="179">
          <cell r="E179" t="str">
            <v>Total</v>
          </cell>
          <cell r="Z179">
            <v>0</v>
          </cell>
          <cell r="AI179">
            <v>0</v>
          </cell>
          <cell r="AX179" t="str">
            <v>Tổng cộng</v>
          </cell>
          <cell r="BS179">
            <v>0</v>
          </cell>
          <cell r="CB179">
            <v>0</v>
          </cell>
          <cell r="CO179" t="str">
            <v>Total</v>
          </cell>
          <cell r="DJ179">
            <v>0</v>
          </cell>
          <cell r="DS179">
            <v>0</v>
          </cell>
          <cell r="ED179" t="str">
            <v/>
          </cell>
          <cell r="EE179" t="str">
            <v>Tổng cộng</v>
          </cell>
          <cell r="EZ179">
            <v>0</v>
          </cell>
          <cell r="FI179">
            <v>0</v>
          </cell>
        </row>
        <row r="180">
          <cell r="E180" t="str">
            <v>Checking point</v>
          </cell>
          <cell r="Z180">
            <v>19084163</v>
          </cell>
          <cell r="AI180">
            <v>19175523</v>
          </cell>
          <cell r="AX180" t="str">
            <v>Checking point</v>
          </cell>
          <cell r="BS180">
            <v>19084163</v>
          </cell>
          <cell r="CB180">
            <v>19175523</v>
          </cell>
          <cell r="CO180" t="str">
            <v>Checking point</v>
          </cell>
          <cell r="DJ180">
            <v>434164708</v>
          </cell>
          <cell r="DS180">
            <v>430298736</v>
          </cell>
          <cell r="ED180" t="str">
            <v/>
          </cell>
          <cell r="EE180" t="str">
            <v>Checking point</v>
          </cell>
          <cell r="EZ180">
            <v>434164708</v>
          </cell>
          <cell r="FI180">
            <v>430298736</v>
          </cell>
        </row>
        <row r="182">
          <cell r="D182" t="str">
            <v>.</v>
          </cell>
          <cell r="E182" t="str">
            <v>INTER-COMPANY RECEIVABLES</v>
          </cell>
          <cell r="AW182" t="str">
            <v>.</v>
          </cell>
          <cell r="AX182" t="str">
            <v>PHẢI THU NỘI BỘ</v>
          </cell>
          <cell r="CN182" t="str">
            <v>.</v>
          </cell>
          <cell r="CO182" t="str">
            <v>INTER-COMPANY RECEIVABLES</v>
          </cell>
          <cell r="ED182" t="str">
            <v>.</v>
          </cell>
          <cell r="EE182" t="str">
            <v>PHẢI THU NỘI BỘ</v>
          </cell>
        </row>
        <row r="184">
          <cell r="E184" t="str">
            <v>Chi tiết các KH chiếm từ 10% tổng giá trị phải thu</v>
          </cell>
          <cell r="AX184" t="str">
            <v>Chi tiết các KH chiếm từ 10% tổng giá trị phải thu</v>
          </cell>
        </row>
        <row r="185">
          <cell r="Z185" t="str">
            <v>Ending bal'</v>
          </cell>
          <cell r="AI185" t="str">
            <v>Beginning bal'</v>
          </cell>
          <cell r="BS185" t="str">
            <v>Số cuối năm</v>
          </cell>
          <cell r="CB185" t="str">
            <v>Số đầu năm</v>
          </cell>
          <cell r="DJ185" t="str">
            <v>Ending bal'</v>
          </cell>
          <cell r="DS185" t="str">
            <v>Beginning bal'</v>
          </cell>
          <cell r="EZ185" t="str">
            <v>Số cuối năm</v>
          </cell>
          <cell r="FI185" t="str">
            <v>Số đầu năm</v>
          </cell>
        </row>
        <row r="187">
          <cell r="E187" t="str">
            <v>Short-term</v>
          </cell>
          <cell r="Z187">
            <v>0</v>
          </cell>
          <cell r="AI187">
            <v>0</v>
          </cell>
          <cell r="AX187" t="str">
            <v>Ngắn hạn</v>
          </cell>
          <cell r="BS187">
            <v>0</v>
          </cell>
          <cell r="CB187">
            <v>0</v>
          </cell>
          <cell r="CO187" t="str">
            <v>Short-term</v>
          </cell>
          <cell r="DJ187">
            <v>0</v>
          </cell>
          <cell r="DS187">
            <v>0</v>
          </cell>
          <cell r="ED187" t="str">
            <v/>
          </cell>
          <cell r="EE187" t="str">
            <v>Ngắn hạn</v>
          </cell>
          <cell r="EZ187">
            <v>0</v>
          </cell>
          <cell r="FI187">
            <v>0</v>
          </cell>
        </row>
        <row r="188">
          <cell r="E188" t="str">
            <v>Receivables from Branch</v>
          </cell>
          <cell r="Z188">
            <v>0</v>
          </cell>
          <cell r="AI188">
            <v>0</v>
          </cell>
          <cell r="AR188">
            <v>0</v>
          </cell>
          <cell r="AS188">
            <v>0</v>
          </cell>
          <cell r="AX188" t="str">
            <v>Phải thu từ Chi nhánh</v>
          </cell>
          <cell r="BS188">
            <v>0</v>
          </cell>
          <cell r="CB188">
            <v>0</v>
          </cell>
          <cell r="CO188" t="str">
            <v>Receivables from Branch</v>
          </cell>
          <cell r="DJ188">
            <v>0</v>
          </cell>
          <cell r="DS188">
            <v>0</v>
          </cell>
          <cell r="ED188" t="str">
            <v/>
          </cell>
          <cell r="EE188" t="str">
            <v>Phải thu từ Chi nhánh</v>
          </cell>
          <cell r="EZ188">
            <v>0</v>
          </cell>
          <cell r="FI188">
            <v>0</v>
          </cell>
        </row>
        <row r="189">
          <cell r="E189" t="str">
            <v>Receivables from Head office</v>
          </cell>
          <cell r="Z189">
            <v>0</v>
          </cell>
          <cell r="AI189">
            <v>0</v>
          </cell>
          <cell r="AR189">
            <v>0</v>
          </cell>
          <cell r="AS189">
            <v>0</v>
          </cell>
          <cell r="AX189" t="str">
            <v>Phải thu từ Trụ sở chính</v>
          </cell>
          <cell r="BS189">
            <v>0</v>
          </cell>
          <cell r="CB189">
            <v>0</v>
          </cell>
          <cell r="CO189" t="str">
            <v>Receivables from Head office</v>
          </cell>
          <cell r="DJ189">
            <v>0</v>
          </cell>
          <cell r="DS189">
            <v>0</v>
          </cell>
          <cell r="ED189" t="str">
            <v/>
          </cell>
          <cell r="EE189" t="str">
            <v>Phải thu từ Trụ sở chính</v>
          </cell>
          <cell r="EZ189">
            <v>0</v>
          </cell>
          <cell r="FI189">
            <v>0</v>
          </cell>
        </row>
        <row r="191">
          <cell r="E191" t="str">
            <v>Long-term</v>
          </cell>
          <cell r="Z191">
            <v>0</v>
          </cell>
          <cell r="AI191">
            <v>0</v>
          </cell>
          <cell r="AX191" t="str">
            <v>Dài hạn</v>
          </cell>
          <cell r="BS191">
            <v>0</v>
          </cell>
          <cell r="CB191">
            <v>0</v>
          </cell>
          <cell r="CO191" t="str">
            <v>Long-term</v>
          </cell>
          <cell r="DJ191">
            <v>0</v>
          </cell>
          <cell r="DS191">
            <v>0</v>
          </cell>
          <cell r="ED191" t="str">
            <v/>
          </cell>
          <cell r="EE191" t="str">
            <v>Dài hạn</v>
          </cell>
          <cell r="EZ191">
            <v>0</v>
          </cell>
          <cell r="FI191">
            <v>0</v>
          </cell>
        </row>
        <row r="192">
          <cell r="E192" t="str">
            <v>Receivables from Branch</v>
          </cell>
          <cell r="Z192">
            <v>0</v>
          </cell>
          <cell r="AI192">
            <v>0</v>
          </cell>
          <cell r="AX192" t="str">
            <v>Phải thu từ Chi nhánh</v>
          </cell>
          <cell r="BS192">
            <v>0</v>
          </cell>
          <cell r="CB192">
            <v>0</v>
          </cell>
          <cell r="CO192" t="str">
            <v>Receivables from Branch</v>
          </cell>
          <cell r="DJ192">
            <v>0</v>
          </cell>
          <cell r="DS192">
            <v>0</v>
          </cell>
          <cell r="ED192" t="str">
            <v/>
          </cell>
          <cell r="EE192" t="str">
            <v>Phải thu từ Chi nhánh</v>
          </cell>
          <cell r="EZ192">
            <v>0</v>
          </cell>
          <cell r="FI192">
            <v>0</v>
          </cell>
        </row>
        <row r="193">
          <cell r="E193" t="str">
            <v>Receivables from Head office</v>
          </cell>
          <cell r="Z193">
            <v>0</v>
          </cell>
          <cell r="AI193">
            <v>0</v>
          </cell>
          <cell r="AX193" t="str">
            <v>Phải thu từ Trụ sở chính</v>
          </cell>
          <cell r="BS193">
            <v>0</v>
          </cell>
          <cell r="CB193">
            <v>0</v>
          </cell>
          <cell r="CO193" t="str">
            <v>Receivables from Head office</v>
          </cell>
          <cell r="DJ193">
            <v>0</v>
          </cell>
          <cell r="DS193">
            <v>0</v>
          </cell>
          <cell r="ED193" t="str">
            <v/>
          </cell>
          <cell r="EE193" t="str">
            <v>Phải thu từ Trụ sở chính</v>
          </cell>
          <cell r="EZ193">
            <v>0</v>
          </cell>
          <cell r="FI193">
            <v>0</v>
          </cell>
        </row>
        <row r="195">
          <cell r="E195" t="str">
            <v>Total</v>
          </cell>
          <cell r="Z195">
            <v>0</v>
          </cell>
          <cell r="AI195">
            <v>0</v>
          </cell>
          <cell r="AX195" t="str">
            <v>Tổng cộng</v>
          </cell>
          <cell r="BS195">
            <v>0</v>
          </cell>
          <cell r="CB195">
            <v>0</v>
          </cell>
          <cell r="CO195" t="str">
            <v>Total</v>
          </cell>
          <cell r="DJ195">
            <v>0</v>
          </cell>
          <cell r="DS195">
            <v>0</v>
          </cell>
          <cell r="ED195" t="str">
            <v/>
          </cell>
          <cell r="EE195" t="str">
            <v>Tổng cộng</v>
          </cell>
          <cell r="EZ195">
            <v>0</v>
          </cell>
          <cell r="FI195">
            <v>0</v>
          </cell>
        </row>
        <row r="196">
          <cell r="E196" t="str">
            <v>Checking point</v>
          </cell>
          <cell r="Z196">
            <v>0</v>
          </cell>
          <cell r="AI196">
            <v>0</v>
          </cell>
          <cell r="AX196" t="str">
            <v>Checking point</v>
          </cell>
          <cell r="BS196">
            <v>0</v>
          </cell>
          <cell r="CB196">
            <v>0</v>
          </cell>
          <cell r="CO196" t="str">
            <v>Checking point</v>
          </cell>
          <cell r="DJ196">
            <v>0</v>
          </cell>
          <cell r="DS196">
            <v>0</v>
          </cell>
          <cell r="EE196" t="str">
            <v>Checking point</v>
          </cell>
          <cell r="EZ196">
            <v>0</v>
          </cell>
          <cell r="FI196">
            <v>0</v>
          </cell>
        </row>
        <row r="198">
          <cell r="D198" t="str">
            <v>.</v>
          </cell>
          <cell r="E198" t="str">
            <v>RECEIVABLES ACCORDING TO THE PROGRESS OF
 CONSTRUCTION CONTRACTS</v>
          </cell>
          <cell r="AW198" t="str">
            <v>.</v>
          </cell>
          <cell r="AX198" t="str">
            <v>PHẢI THU THEO TIẾN ĐỘ KẾ HOẠCH 
 HỢP ĐỒNG XÂY DỰNG</v>
          </cell>
          <cell r="CN198" t="str">
            <v>.</v>
          </cell>
          <cell r="CO198" t="str">
            <v>RECEIVABLES ACCORDING TO THE PROGRESS OF
 CONSTRUCTION CONTRACTS</v>
          </cell>
          <cell r="ED198" t="str">
            <v>.</v>
          </cell>
          <cell r="EE198" t="str">
            <v>PHẢI THU THEO TIẾN ĐỘ KẾ HOẠCH 
 HỢP ĐỒNG XÂY DỰNG</v>
          </cell>
        </row>
        <row r="200">
          <cell r="Z200" t="str">
            <v>Ending bal'</v>
          </cell>
          <cell r="AI200" t="str">
            <v>Beginning bal'</v>
          </cell>
          <cell r="BS200" t="str">
            <v>Số cuối năm</v>
          </cell>
          <cell r="CB200" t="str">
            <v>Số đầu năm</v>
          </cell>
          <cell r="DJ200" t="str">
            <v>Ending bal'</v>
          </cell>
          <cell r="DS200" t="str">
            <v>Beginning bal'</v>
          </cell>
          <cell r="EZ200" t="str">
            <v>Số cuối năm</v>
          </cell>
          <cell r="FI200" t="str">
            <v>Số đầu năm</v>
          </cell>
        </row>
        <row r="202">
          <cell r="E202" t="str">
            <v>Receivables from the Contract 1</v>
          </cell>
          <cell r="Z202">
            <v>0</v>
          </cell>
          <cell r="AI202">
            <v>0</v>
          </cell>
          <cell r="AR202">
            <v>0</v>
          </cell>
          <cell r="AS202">
            <v>0</v>
          </cell>
          <cell r="AX202" t="str">
            <v>Phải thu từ Hợp đồng 1</v>
          </cell>
          <cell r="BS202">
            <v>0</v>
          </cell>
          <cell r="CB202">
            <v>0</v>
          </cell>
          <cell r="CO202" t="str">
            <v>Receivables from the Contract 1</v>
          </cell>
          <cell r="DJ202">
            <v>0</v>
          </cell>
          <cell r="DS202">
            <v>0</v>
          </cell>
          <cell r="ED202" t="str">
            <v/>
          </cell>
          <cell r="EE202" t="str">
            <v>Phải thu từ Hợp đồng 1</v>
          </cell>
          <cell r="EZ202">
            <v>0</v>
          </cell>
          <cell r="FI202">
            <v>0</v>
          </cell>
        </row>
        <row r="203">
          <cell r="E203" t="str">
            <v>Receivables from the Contract 2</v>
          </cell>
          <cell r="Z203">
            <v>0</v>
          </cell>
          <cell r="AI203">
            <v>0</v>
          </cell>
          <cell r="AR203">
            <v>0</v>
          </cell>
          <cell r="AS203">
            <v>0</v>
          </cell>
          <cell r="AX203" t="str">
            <v>Phải thu từ Hợp đồng 2</v>
          </cell>
          <cell r="BS203">
            <v>0</v>
          </cell>
          <cell r="CB203">
            <v>0</v>
          </cell>
          <cell r="CO203" t="str">
            <v>Receivables from the Contract 2</v>
          </cell>
          <cell r="DJ203">
            <v>0</v>
          </cell>
          <cell r="DS203">
            <v>0</v>
          </cell>
          <cell r="ED203" t="str">
            <v/>
          </cell>
          <cell r="EE203" t="str">
            <v>Phải thu từ Hợp đồng 2</v>
          </cell>
          <cell r="EZ203">
            <v>0</v>
          </cell>
          <cell r="FI203">
            <v>0</v>
          </cell>
        </row>
        <row r="204">
          <cell r="E204" t="str">
            <v>Receivables from the Contract 3</v>
          </cell>
          <cell r="Z204">
            <v>0</v>
          </cell>
          <cell r="AI204">
            <v>0</v>
          </cell>
          <cell r="AR204">
            <v>0</v>
          </cell>
          <cell r="AS204">
            <v>0</v>
          </cell>
          <cell r="AX204" t="str">
            <v>Phải thu từ Hợp đồng 3</v>
          </cell>
          <cell r="BS204">
            <v>0</v>
          </cell>
          <cell r="CB204">
            <v>0</v>
          </cell>
          <cell r="CO204" t="str">
            <v>Receivables from the Contract 3</v>
          </cell>
          <cell r="DJ204">
            <v>0</v>
          </cell>
          <cell r="DS204">
            <v>0</v>
          </cell>
          <cell r="ED204" t="str">
            <v/>
          </cell>
          <cell r="EE204" t="str">
            <v>Phải thu từ Hợp đồng 3</v>
          </cell>
          <cell r="EZ204">
            <v>0</v>
          </cell>
          <cell r="FI204">
            <v>0</v>
          </cell>
        </row>
        <row r="205">
          <cell r="E205" t="str">
            <v>Total</v>
          </cell>
          <cell r="Z205">
            <v>0</v>
          </cell>
          <cell r="AI205">
            <v>0</v>
          </cell>
          <cell r="AX205" t="str">
            <v>Tổng cộng</v>
          </cell>
          <cell r="BS205">
            <v>0</v>
          </cell>
          <cell r="CB205">
            <v>0</v>
          </cell>
          <cell r="CO205" t="str">
            <v>Total</v>
          </cell>
          <cell r="DJ205">
            <v>0</v>
          </cell>
          <cell r="DS205">
            <v>0</v>
          </cell>
          <cell r="ED205" t="str">
            <v/>
          </cell>
          <cell r="EE205" t="str">
            <v>Tổng cộng</v>
          </cell>
          <cell r="EZ205">
            <v>0</v>
          </cell>
          <cell r="FI205">
            <v>0</v>
          </cell>
        </row>
        <row r="206">
          <cell r="E206" t="str">
            <v>Checking point</v>
          </cell>
          <cell r="Z206">
            <v>0</v>
          </cell>
          <cell r="AI206">
            <v>0</v>
          </cell>
          <cell r="AX206" t="str">
            <v>Checking point</v>
          </cell>
          <cell r="BS206">
            <v>0</v>
          </cell>
          <cell r="CB206">
            <v>0</v>
          </cell>
          <cell r="CO206" t="str">
            <v>Checking point</v>
          </cell>
          <cell r="DJ206">
            <v>0</v>
          </cell>
          <cell r="DS206">
            <v>0</v>
          </cell>
          <cell r="ED206" t="str">
            <v/>
          </cell>
          <cell r="EE206" t="str">
            <v>Checking point</v>
          </cell>
          <cell r="EZ206">
            <v>0</v>
          </cell>
          <cell r="FI206">
            <v>0</v>
          </cell>
        </row>
        <row r="208">
          <cell r="D208" t="str">
            <v>.</v>
          </cell>
          <cell r="E208" t="str">
            <v>LOANS RECEIVABLES</v>
          </cell>
          <cell r="AW208" t="str">
            <v>.</v>
          </cell>
          <cell r="AX208" t="str">
            <v>PHẢI THU VỀ CHO VAY</v>
          </cell>
          <cell r="CN208" t="str">
            <v>.</v>
          </cell>
          <cell r="CO208" t="str">
            <v>LOANS RECEIVABLES</v>
          </cell>
          <cell r="ED208" t="str">
            <v>.</v>
          </cell>
          <cell r="EE208" t="str">
            <v>PHẢI THU VỀ CHO VAY</v>
          </cell>
        </row>
        <row r="210">
          <cell r="Z210" t="str">
            <v>Ending bal'</v>
          </cell>
          <cell r="AI210" t="str">
            <v>Beginning bal'</v>
          </cell>
          <cell r="BS210" t="str">
            <v>Số cuối năm</v>
          </cell>
          <cell r="CB210" t="str">
            <v>Số đầu năm</v>
          </cell>
          <cell r="DJ210" t="str">
            <v>Ending bal'</v>
          </cell>
          <cell r="DS210" t="str">
            <v>Beginning bal'</v>
          </cell>
          <cell r="EZ210" t="str">
            <v>Số cuối năm</v>
          </cell>
          <cell r="FI210" t="str">
            <v>Số đầu năm</v>
          </cell>
        </row>
        <row r="212">
          <cell r="E212" t="str">
            <v>Short-term</v>
          </cell>
          <cell r="Z212">
            <v>0</v>
          </cell>
          <cell r="AI212">
            <v>0</v>
          </cell>
          <cell r="AX212" t="str">
            <v>Ngắn hạn</v>
          </cell>
          <cell r="BS212">
            <v>0</v>
          </cell>
          <cell r="CB212">
            <v>0</v>
          </cell>
          <cell r="CO212" t="str">
            <v>Short-term</v>
          </cell>
          <cell r="DJ212">
            <v>0</v>
          </cell>
          <cell r="DS212">
            <v>0</v>
          </cell>
          <cell r="EE212" t="str">
            <v>Ngắn hạn</v>
          </cell>
          <cell r="EZ212">
            <v>0</v>
          </cell>
          <cell r="FI212">
            <v>0</v>
          </cell>
        </row>
        <row r="213">
          <cell r="E213" t="str">
            <v>Receivables from related parties</v>
          </cell>
          <cell r="Z213">
            <v>0</v>
          </cell>
          <cell r="AI213">
            <v>0</v>
          </cell>
          <cell r="AR213">
            <v>0</v>
          </cell>
          <cell r="AS213">
            <v>0</v>
          </cell>
          <cell r="AX213" t="str">
            <v>Phải thu từ các bên liên quan</v>
          </cell>
          <cell r="BS213">
            <v>0</v>
          </cell>
          <cell r="CB213">
            <v>0</v>
          </cell>
          <cell r="CO213" t="str">
            <v>Receivables from related parties</v>
          </cell>
          <cell r="DJ213">
            <v>0</v>
          </cell>
          <cell r="DS213">
            <v>0</v>
          </cell>
          <cell r="ED213" t="str">
            <v/>
          </cell>
          <cell r="EE213" t="str">
            <v>Phải thu từ các bên liên quan</v>
          </cell>
          <cell r="EZ213">
            <v>0</v>
          </cell>
          <cell r="FI213">
            <v>0</v>
          </cell>
        </row>
        <row r="214">
          <cell r="E214" t="str">
            <v>Receivables from other companies</v>
          </cell>
          <cell r="Z214">
            <v>0</v>
          </cell>
          <cell r="AI214">
            <v>0</v>
          </cell>
          <cell r="AR214">
            <v>0</v>
          </cell>
          <cell r="AS214">
            <v>0</v>
          </cell>
          <cell r="AX214" t="str">
            <v>Phải thu các công ty khác</v>
          </cell>
          <cell r="BS214">
            <v>0</v>
          </cell>
          <cell r="CB214">
            <v>0</v>
          </cell>
          <cell r="CO214" t="str">
            <v>Receivables from other companies</v>
          </cell>
          <cell r="DJ214">
            <v>0</v>
          </cell>
          <cell r="DS214">
            <v>0</v>
          </cell>
          <cell r="ED214" t="str">
            <v/>
          </cell>
          <cell r="EE214" t="str">
            <v>Phải thu các công ty khác</v>
          </cell>
          <cell r="EZ214">
            <v>0</v>
          </cell>
          <cell r="FI214">
            <v>0</v>
          </cell>
        </row>
        <row r="215">
          <cell r="E215" t="str">
            <v>Others</v>
          </cell>
          <cell r="Z215">
            <v>0</v>
          </cell>
          <cell r="AI215">
            <v>0</v>
          </cell>
          <cell r="AR215">
            <v>0</v>
          </cell>
          <cell r="AS215">
            <v>0</v>
          </cell>
          <cell r="AX215" t="str">
            <v>Khác</v>
          </cell>
          <cell r="BS215">
            <v>0</v>
          </cell>
          <cell r="CB215">
            <v>0</v>
          </cell>
          <cell r="CO215" t="str">
            <v>Others</v>
          </cell>
          <cell r="DJ215">
            <v>0</v>
          </cell>
          <cell r="DS215">
            <v>0</v>
          </cell>
          <cell r="ED215" t="str">
            <v/>
          </cell>
          <cell r="EE215" t="str">
            <v>Khác</v>
          </cell>
          <cell r="EZ215">
            <v>0</v>
          </cell>
          <cell r="FI215">
            <v>0</v>
          </cell>
        </row>
        <row r="216">
          <cell r="CO216" t="str">
            <v/>
          </cell>
          <cell r="ED216" t="str">
            <v/>
          </cell>
        </row>
        <row r="217">
          <cell r="E217" t="str">
            <v>Long-term</v>
          </cell>
          <cell r="Z217">
            <v>0</v>
          </cell>
          <cell r="AI217">
            <v>0</v>
          </cell>
          <cell r="AX217" t="str">
            <v>Dài hạn</v>
          </cell>
          <cell r="BS217">
            <v>0</v>
          </cell>
          <cell r="CB217">
            <v>0</v>
          </cell>
          <cell r="CO217" t="str">
            <v>Long-term</v>
          </cell>
          <cell r="DJ217">
            <v>0</v>
          </cell>
          <cell r="DS217">
            <v>0</v>
          </cell>
          <cell r="ED217" t="str">
            <v/>
          </cell>
          <cell r="EE217" t="str">
            <v>Dài hạn</v>
          </cell>
          <cell r="EZ217">
            <v>0</v>
          </cell>
          <cell r="FI217">
            <v>0</v>
          </cell>
        </row>
        <row r="218">
          <cell r="E218" t="str">
            <v>Receivables from related parties</v>
          </cell>
          <cell r="Z218">
            <v>0</v>
          </cell>
          <cell r="AI218">
            <v>0</v>
          </cell>
          <cell r="AX218" t="str">
            <v>Phải thu từ các bên liên quan</v>
          </cell>
          <cell r="BS218">
            <v>0</v>
          </cell>
          <cell r="CB218">
            <v>0</v>
          </cell>
          <cell r="CO218" t="str">
            <v>Receivables from related parties</v>
          </cell>
          <cell r="DJ218">
            <v>0</v>
          </cell>
          <cell r="DS218">
            <v>0</v>
          </cell>
          <cell r="ED218" t="str">
            <v/>
          </cell>
          <cell r="EE218" t="str">
            <v>Phải thu từ các bên liên quan</v>
          </cell>
          <cell r="EZ218">
            <v>0</v>
          </cell>
          <cell r="FI218">
            <v>0</v>
          </cell>
        </row>
        <row r="219">
          <cell r="E219" t="str">
            <v>Receivables from other companies</v>
          </cell>
          <cell r="Z219">
            <v>0</v>
          </cell>
          <cell r="AI219">
            <v>0</v>
          </cell>
          <cell r="AX219" t="str">
            <v>Phải thu các công ty khác</v>
          </cell>
          <cell r="BS219">
            <v>0</v>
          </cell>
          <cell r="CB219">
            <v>0</v>
          </cell>
          <cell r="CO219" t="str">
            <v>Receivables from other companies</v>
          </cell>
          <cell r="DJ219">
            <v>0</v>
          </cell>
          <cell r="DS219">
            <v>0</v>
          </cell>
          <cell r="ED219" t="str">
            <v/>
          </cell>
          <cell r="EE219" t="str">
            <v>Phải thu các công ty khác</v>
          </cell>
          <cell r="EZ219">
            <v>0</v>
          </cell>
          <cell r="FI219">
            <v>0</v>
          </cell>
        </row>
        <row r="220">
          <cell r="E220" t="str">
            <v>Others</v>
          </cell>
          <cell r="Z220">
            <v>0</v>
          </cell>
          <cell r="AI220">
            <v>0</v>
          </cell>
          <cell r="AX220" t="str">
            <v>Khác</v>
          </cell>
          <cell r="BS220">
            <v>0</v>
          </cell>
          <cell r="CB220">
            <v>0</v>
          </cell>
          <cell r="CO220" t="str">
            <v>Others</v>
          </cell>
          <cell r="DJ220">
            <v>0</v>
          </cell>
          <cell r="DS220">
            <v>0</v>
          </cell>
          <cell r="ED220" t="str">
            <v/>
          </cell>
          <cell r="EE220" t="str">
            <v>Khác</v>
          </cell>
          <cell r="EZ220">
            <v>0</v>
          </cell>
          <cell r="FI220">
            <v>0</v>
          </cell>
        </row>
        <row r="221">
          <cell r="E221" t="str">
            <v>Total</v>
          </cell>
          <cell r="Z221">
            <v>0</v>
          </cell>
          <cell r="AI221">
            <v>0</v>
          </cell>
          <cell r="AX221" t="str">
            <v>Tổng cộng</v>
          </cell>
          <cell r="BS221">
            <v>0</v>
          </cell>
          <cell r="CB221">
            <v>0</v>
          </cell>
          <cell r="CO221" t="str">
            <v>Total</v>
          </cell>
          <cell r="DJ221">
            <v>0</v>
          </cell>
          <cell r="DS221">
            <v>0</v>
          </cell>
          <cell r="ED221" t="str">
            <v/>
          </cell>
          <cell r="EE221" t="str">
            <v>Tổng cộng</v>
          </cell>
          <cell r="EZ221">
            <v>0</v>
          </cell>
          <cell r="FI221">
            <v>0</v>
          </cell>
        </row>
        <row r="222">
          <cell r="E222" t="str">
            <v>Checking point</v>
          </cell>
          <cell r="Z222">
            <v>0</v>
          </cell>
          <cell r="AI222">
            <v>0</v>
          </cell>
          <cell r="AX222" t="str">
            <v>Checking point</v>
          </cell>
          <cell r="BS222">
            <v>0</v>
          </cell>
          <cell r="CB222">
            <v>0</v>
          </cell>
          <cell r="CO222" t="str">
            <v>Checking point</v>
          </cell>
          <cell r="DJ222">
            <v>0</v>
          </cell>
          <cell r="DS222">
            <v>0</v>
          </cell>
          <cell r="ED222" t="str">
            <v/>
          </cell>
          <cell r="EE222" t="str">
            <v>Checking point</v>
          </cell>
          <cell r="EZ222">
            <v>0</v>
          </cell>
          <cell r="FI222">
            <v>0</v>
          </cell>
        </row>
        <row r="224">
          <cell r="D224" t="str">
            <v>8.</v>
          </cell>
          <cell r="E224" t="str">
            <v>OTHER SHORT-TERM RECEIVABLES</v>
          </cell>
          <cell r="AW224" t="str">
            <v>8.</v>
          </cell>
          <cell r="AX224" t="str">
            <v>PHẢI THU NGẮN HẠN KHÁC</v>
          </cell>
          <cell r="CN224" t="str">
            <v>8.</v>
          </cell>
          <cell r="CO224" t="str">
            <v>OTHER SHORT-TERM RECEIVABLES</v>
          </cell>
          <cell r="ED224" t="str">
            <v>8.</v>
          </cell>
          <cell r="EE224" t="str">
            <v>PHẢI THU NGẮN HẠN KHÁC</v>
          </cell>
        </row>
        <row r="226">
          <cell r="Z226" t="str">
            <v>Ending bal'</v>
          </cell>
          <cell r="AI226" t="str">
            <v>Beginning bal'</v>
          </cell>
          <cell r="BS226" t="str">
            <v>Số cuối năm</v>
          </cell>
          <cell r="CB226" t="str">
            <v>Số đầu năm</v>
          </cell>
          <cell r="DJ226" t="str">
            <v>Ending bal'</v>
          </cell>
          <cell r="DS226" t="str">
            <v>Beginning bal'</v>
          </cell>
          <cell r="EZ226" t="str">
            <v>Số cuối năm</v>
          </cell>
          <cell r="FI226" t="str">
            <v>Số đầu năm</v>
          </cell>
        </row>
        <row r="228">
          <cell r="E228" t="str">
            <v>Short-term</v>
          </cell>
          <cell r="Z228">
            <v>0</v>
          </cell>
          <cell r="AI228">
            <v>0</v>
          </cell>
          <cell r="AR228">
            <v>0</v>
          </cell>
          <cell r="AS228">
            <v>0</v>
          </cell>
          <cell r="AX228" t="str">
            <v>Ngắn hạn</v>
          </cell>
          <cell r="BS228">
            <v>0</v>
          </cell>
          <cell r="CB228">
            <v>0</v>
          </cell>
          <cell r="CO228" t="str">
            <v>Short-term</v>
          </cell>
          <cell r="DJ228">
            <v>0</v>
          </cell>
          <cell r="DS228">
            <v>0</v>
          </cell>
          <cell r="ED228" t="str">
            <v/>
          </cell>
          <cell r="EE228" t="str">
            <v>Ngắn hạn</v>
          </cell>
          <cell r="EZ228">
            <v>0</v>
          </cell>
          <cell r="FI228">
            <v>0</v>
          </cell>
        </row>
        <row r="229">
          <cell r="E229" t="str">
            <v>Receivables from related parties</v>
          </cell>
          <cell r="Z229">
            <v>0</v>
          </cell>
          <cell r="AI229">
            <v>0</v>
          </cell>
          <cell r="AR229">
            <v>0</v>
          </cell>
          <cell r="AS229">
            <v>0</v>
          </cell>
          <cell r="AX229" t="str">
            <v>Phải thu từ các bên liên quan</v>
          </cell>
          <cell r="BS229">
            <v>0</v>
          </cell>
          <cell r="CB229">
            <v>0</v>
          </cell>
          <cell r="CO229" t="str">
            <v>Receivables from related parties</v>
          </cell>
          <cell r="DJ229">
            <v>0</v>
          </cell>
          <cell r="DS229">
            <v>0</v>
          </cell>
          <cell r="ED229" t="str">
            <v/>
          </cell>
          <cell r="EE229" t="str">
            <v>Phải thu từ các bên liên quan</v>
          </cell>
          <cell r="EZ229">
            <v>0</v>
          </cell>
          <cell r="FI229">
            <v>0</v>
          </cell>
        </row>
        <row r="230">
          <cell r="E230" t="str">
            <v>Receivables from equitization</v>
          </cell>
          <cell r="Z230">
            <v>0</v>
          </cell>
          <cell r="AI230">
            <v>0</v>
          </cell>
          <cell r="AR230">
            <v>0</v>
          </cell>
          <cell r="AS230">
            <v>0</v>
          </cell>
          <cell r="AX230" t="str">
            <v>Phải thu về cổ phần hóa</v>
          </cell>
          <cell r="BS230">
            <v>0</v>
          </cell>
          <cell r="CB230">
            <v>0</v>
          </cell>
          <cell r="CO230" t="str">
            <v>Receivables from equitization</v>
          </cell>
          <cell r="DJ230">
            <v>0</v>
          </cell>
          <cell r="DS230">
            <v>0</v>
          </cell>
          <cell r="ED230" t="str">
            <v/>
          </cell>
          <cell r="EE230" t="str">
            <v>Phải thu về cổ phần hóa</v>
          </cell>
          <cell r="EZ230">
            <v>0</v>
          </cell>
          <cell r="FI230">
            <v>0</v>
          </cell>
        </row>
        <row r="231">
          <cell r="E231" t="str">
            <v>Receivables from dividends and profit sharing</v>
          </cell>
          <cell r="Z231">
            <v>0</v>
          </cell>
          <cell r="AI231">
            <v>0</v>
          </cell>
          <cell r="AR231">
            <v>0</v>
          </cell>
          <cell r="AS231">
            <v>0</v>
          </cell>
          <cell r="AX231" t="str">
            <v>Phải thu về cổ tức và lợi nhuận được chia</v>
          </cell>
          <cell r="BS231">
            <v>0</v>
          </cell>
          <cell r="CB231">
            <v>0</v>
          </cell>
          <cell r="CO231" t="str">
            <v>Receivables from dividends and profit sharing</v>
          </cell>
          <cell r="DJ231">
            <v>0</v>
          </cell>
          <cell r="DS231">
            <v>0</v>
          </cell>
          <cell r="ED231" t="str">
            <v/>
          </cell>
          <cell r="EE231" t="str">
            <v>Phải thu về cổ tức và lợi nhuận được chia</v>
          </cell>
          <cell r="EZ231">
            <v>0</v>
          </cell>
          <cell r="FI231">
            <v>0</v>
          </cell>
        </row>
        <row r="232">
          <cell r="E232" t="str">
            <v>Advances to employees</v>
          </cell>
          <cell r="Z232">
            <v>0</v>
          </cell>
          <cell r="AI232">
            <v>0</v>
          </cell>
          <cell r="AR232">
            <v>0</v>
          </cell>
          <cell r="AS232">
            <v>0</v>
          </cell>
          <cell r="AX232" t="str">
            <v>Tạm ứng cho nhân viên</v>
          </cell>
          <cell r="BS232">
            <v>0</v>
          </cell>
          <cell r="CB232">
            <v>0</v>
          </cell>
          <cell r="CO232" t="str">
            <v>Advances to employees</v>
          </cell>
          <cell r="DJ232">
            <v>0</v>
          </cell>
          <cell r="DS232">
            <v>0</v>
          </cell>
          <cell r="ED232" t="str">
            <v/>
          </cell>
          <cell r="EE232" t="str">
            <v>Tạm ứng cho nhân viên</v>
          </cell>
          <cell r="EZ232">
            <v>0</v>
          </cell>
          <cell r="FI232">
            <v>0</v>
          </cell>
        </row>
        <row r="233">
          <cell r="E233" t="str">
            <v>Deposit for apartment rental service</v>
          </cell>
          <cell r="Z233">
            <v>0</v>
          </cell>
          <cell r="AI233">
            <v>0</v>
          </cell>
          <cell r="AR233">
            <v>0</v>
          </cell>
          <cell r="AS233">
            <v>0</v>
          </cell>
          <cell r="AX233" t="str">
            <v>Đặt cọc cho dịch vụ thuê căn hộ</v>
          </cell>
          <cell r="BS233">
            <v>0</v>
          </cell>
          <cell r="CB233">
            <v>0</v>
          </cell>
          <cell r="CO233" t="str">
            <v>Deposit for apartment rental service</v>
          </cell>
          <cell r="DJ233">
            <v>0</v>
          </cell>
          <cell r="DS233">
            <v>0</v>
          </cell>
          <cell r="ED233" t="str">
            <v/>
          </cell>
          <cell r="EE233" t="str">
            <v>Đặt cọc cho dịch vụ thuê căn hộ</v>
          </cell>
          <cell r="EZ233">
            <v>0</v>
          </cell>
          <cell r="FI233">
            <v>0</v>
          </cell>
        </row>
        <row r="234">
          <cell r="E234" t="str">
            <v>Deposit for other services</v>
          </cell>
          <cell r="Z234">
            <v>0</v>
          </cell>
          <cell r="AI234">
            <v>0</v>
          </cell>
          <cell r="AR234">
            <v>0</v>
          </cell>
          <cell r="AS234">
            <v>0</v>
          </cell>
          <cell r="AX234" t="str">
            <v>Đặt cọc cho các dịch vụ khác</v>
          </cell>
          <cell r="BS234">
            <v>0</v>
          </cell>
          <cell r="CB234">
            <v>0</v>
          </cell>
          <cell r="CO234" t="str">
            <v>Deposit for other services</v>
          </cell>
          <cell r="DJ234">
            <v>0</v>
          </cell>
          <cell r="DS234">
            <v>0</v>
          </cell>
          <cell r="ED234" t="str">
            <v/>
          </cell>
          <cell r="EE234" t="str">
            <v>Đặt cọc cho các dịch vụ khác</v>
          </cell>
          <cell r="EZ234">
            <v>0</v>
          </cell>
          <cell r="FI234">
            <v>0</v>
          </cell>
        </row>
        <row r="235">
          <cell r="E235" t="str">
            <v>Others</v>
          </cell>
          <cell r="Z235">
            <v>0</v>
          </cell>
          <cell r="AI235">
            <v>0</v>
          </cell>
          <cell r="AR235">
            <v>0</v>
          </cell>
          <cell r="AS235">
            <v>0</v>
          </cell>
          <cell r="AX235" t="str">
            <v>Khác</v>
          </cell>
          <cell r="BS235">
            <v>0</v>
          </cell>
          <cell r="CB235">
            <v>0</v>
          </cell>
          <cell r="CO235" t="str">
            <v>Others</v>
          </cell>
          <cell r="DJ235">
            <v>0</v>
          </cell>
          <cell r="DS235">
            <v>0</v>
          </cell>
          <cell r="ED235" t="str">
            <v/>
          </cell>
          <cell r="EE235" t="str">
            <v>Khác</v>
          </cell>
          <cell r="EZ235">
            <v>0</v>
          </cell>
          <cell r="FI235">
            <v>0</v>
          </cell>
        </row>
        <row r="236">
          <cell r="CO236" t="str">
            <v/>
          </cell>
          <cell r="ED236" t="str">
            <v/>
          </cell>
        </row>
        <row r="237">
          <cell r="E237" t="str">
            <v>Long-term</v>
          </cell>
          <cell r="Z237">
            <v>0</v>
          </cell>
          <cell r="AI237">
            <v>0</v>
          </cell>
          <cell r="AX237" t="str">
            <v>Dài hạn</v>
          </cell>
          <cell r="BS237">
            <v>0</v>
          </cell>
          <cell r="CB237">
            <v>0</v>
          </cell>
          <cell r="CO237" t="str">
            <v>Long-term</v>
          </cell>
          <cell r="DJ237">
            <v>0</v>
          </cell>
          <cell r="DS237">
            <v>0</v>
          </cell>
          <cell r="ED237" t="str">
            <v/>
          </cell>
          <cell r="EE237" t="str">
            <v>Dài hạn</v>
          </cell>
          <cell r="EZ237">
            <v>0</v>
          </cell>
          <cell r="FI237">
            <v>0</v>
          </cell>
        </row>
        <row r="238">
          <cell r="E238" t="str">
            <v>Long-term deposit</v>
          </cell>
          <cell r="Z238">
            <v>0</v>
          </cell>
          <cell r="AI238">
            <v>0</v>
          </cell>
          <cell r="AX238" t="str">
            <v>Ký quỹ, ký cược dài hạn</v>
          </cell>
          <cell r="BS238">
            <v>0</v>
          </cell>
          <cell r="CB238">
            <v>0</v>
          </cell>
          <cell r="CO238" t="str">
            <v>Long-term deposit</v>
          </cell>
          <cell r="DJ238">
            <v>0</v>
          </cell>
          <cell r="DS238">
            <v>0</v>
          </cell>
          <cell r="ED238" t="str">
            <v/>
          </cell>
          <cell r="EE238" t="str">
            <v>Ký quỹ, ký cược dài hạn</v>
          </cell>
          <cell r="EZ238">
            <v>0</v>
          </cell>
          <cell r="FI238">
            <v>0</v>
          </cell>
        </row>
        <row r="239">
          <cell r="E239" t="str">
            <v>Borrowing without interest</v>
          </cell>
          <cell r="Z239">
            <v>0</v>
          </cell>
          <cell r="AI239">
            <v>0</v>
          </cell>
          <cell r="AX239" t="str">
            <v>Cho vay không có lãi</v>
          </cell>
          <cell r="BS239">
            <v>0</v>
          </cell>
          <cell r="CB239">
            <v>0</v>
          </cell>
          <cell r="CO239" t="str">
            <v>Borrowing without interest</v>
          </cell>
          <cell r="DJ239">
            <v>0</v>
          </cell>
          <cell r="DS239">
            <v>0</v>
          </cell>
          <cell r="ED239" t="str">
            <v/>
          </cell>
          <cell r="EE239" t="str">
            <v>Cho vay không có lãi</v>
          </cell>
          <cell r="EZ239">
            <v>0</v>
          </cell>
          <cell r="FI239">
            <v>0</v>
          </cell>
        </row>
        <row r="240">
          <cell r="E240" t="str">
            <v>Deposit for apartment rental service</v>
          </cell>
          <cell r="Z240">
            <v>0</v>
          </cell>
          <cell r="AI240">
            <v>0</v>
          </cell>
          <cell r="AX240" t="str">
            <v>Đặt cọc cho dịch vụ thuê căn hộ</v>
          </cell>
          <cell r="BS240">
            <v>0</v>
          </cell>
          <cell r="CB240">
            <v>0</v>
          </cell>
          <cell r="CO240" t="str">
            <v>Deposit for apartment rental service</v>
          </cell>
          <cell r="DJ240">
            <v>0</v>
          </cell>
          <cell r="DS240">
            <v>0</v>
          </cell>
          <cell r="ED240" t="str">
            <v/>
          </cell>
          <cell r="EE240" t="str">
            <v>Đặt cọc cho dịch vụ thuê căn hộ</v>
          </cell>
          <cell r="EZ240">
            <v>0</v>
          </cell>
          <cell r="FI240">
            <v>0</v>
          </cell>
        </row>
        <row r="241">
          <cell r="E241" t="str">
            <v>Deposit for real estate management service</v>
          </cell>
          <cell r="Z241">
            <v>0</v>
          </cell>
          <cell r="AI241">
            <v>0</v>
          </cell>
          <cell r="AX241" t="str">
            <v>Đặt cọc cho dịch vụ quản lý bất động sản</v>
          </cell>
          <cell r="BS241">
            <v>0</v>
          </cell>
          <cell r="CB241">
            <v>0</v>
          </cell>
          <cell r="CO241" t="str">
            <v>Deposit for real estate management service</v>
          </cell>
          <cell r="DJ241">
            <v>0</v>
          </cell>
          <cell r="DS241">
            <v>0</v>
          </cell>
          <cell r="ED241" t="str">
            <v/>
          </cell>
          <cell r="EE241" t="str">
            <v>Đặt cọc cho dịch vụ quản lý bất động sản</v>
          </cell>
          <cell r="EZ241">
            <v>0</v>
          </cell>
          <cell r="FI241">
            <v>0</v>
          </cell>
        </row>
        <row r="242">
          <cell r="E242" t="str">
            <v>Deposit for other services</v>
          </cell>
          <cell r="Z242">
            <v>0</v>
          </cell>
          <cell r="AI242">
            <v>0</v>
          </cell>
          <cell r="AX242" t="str">
            <v>Đặt cọc cho các dịch vụ khác</v>
          </cell>
          <cell r="BS242">
            <v>0</v>
          </cell>
          <cell r="CB242">
            <v>0</v>
          </cell>
          <cell r="CO242" t="str">
            <v>Deposit for other services</v>
          </cell>
          <cell r="DJ242">
            <v>0</v>
          </cell>
          <cell r="DS242">
            <v>0</v>
          </cell>
          <cell r="ED242" t="str">
            <v/>
          </cell>
          <cell r="EE242" t="str">
            <v>Đặt cọc cho các dịch vụ khác</v>
          </cell>
          <cell r="EZ242">
            <v>0</v>
          </cell>
          <cell r="FI242">
            <v>0</v>
          </cell>
        </row>
        <row r="243">
          <cell r="E243" t="str">
            <v>Others</v>
          </cell>
          <cell r="Z243">
            <v>0</v>
          </cell>
          <cell r="AI243">
            <v>0</v>
          </cell>
          <cell r="AX243" t="str">
            <v>Khác</v>
          </cell>
          <cell r="BS243">
            <v>0</v>
          </cell>
          <cell r="CB243">
            <v>0</v>
          </cell>
          <cell r="CO243" t="str">
            <v>Others</v>
          </cell>
          <cell r="DJ243">
            <v>0</v>
          </cell>
          <cell r="DS243">
            <v>0</v>
          </cell>
          <cell r="ED243" t="str">
            <v/>
          </cell>
          <cell r="EE243" t="str">
            <v>Khác</v>
          </cell>
          <cell r="EZ243">
            <v>0</v>
          </cell>
          <cell r="FI243">
            <v>0</v>
          </cell>
        </row>
        <row r="245">
          <cell r="E245" t="str">
            <v>Total</v>
          </cell>
          <cell r="Z245">
            <v>0</v>
          </cell>
          <cell r="AI245">
            <v>0</v>
          </cell>
          <cell r="AX245" t="str">
            <v>Tổng cộng</v>
          </cell>
          <cell r="BS245">
            <v>0</v>
          </cell>
          <cell r="CB245">
            <v>0</v>
          </cell>
          <cell r="CO245" t="str">
            <v>Total</v>
          </cell>
          <cell r="DJ245">
            <v>0</v>
          </cell>
          <cell r="DS245">
            <v>0</v>
          </cell>
          <cell r="ED245" t="str">
            <v/>
          </cell>
          <cell r="EE245" t="str">
            <v>Tổng cộng</v>
          </cell>
          <cell r="EZ245">
            <v>0</v>
          </cell>
          <cell r="FI245">
            <v>0</v>
          </cell>
        </row>
        <row r="246">
          <cell r="E246" t="str">
            <v>Checking point</v>
          </cell>
          <cell r="Z246">
            <v>396206400</v>
          </cell>
          <cell r="AI246">
            <v>803763426</v>
          </cell>
          <cell r="AX246" t="str">
            <v>Checking point</v>
          </cell>
          <cell r="BS246">
            <v>396206400</v>
          </cell>
          <cell r="CB246">
            <v>803763426</v>
          </cell>
          <cell r="CO246" t="str">
            <v>Checking point</v>
          </cell>
          <cell r="DJ246">
            <v>9013695600</v>
          </cell>
          <cell r="DS246">
            <v>18036451279</v>
          </cell>
          <cell r="ED246" t="str">
            <v/>
          </cell>
          <cell r="EE246" t="str">
            <v>Checking point</v>
          </cell>
          <cell r="EZ246">
            <v>9013695600</v>
          </cell>
          <cell r="FI246">
            <v>18036451279</v>
          </cell>
        </row>
        <row r="248">
          <cell r="D248" t="str">
            <v>.</v>
          </cell>
          <cell r="E248" t="str">
            <v>PROVISION FOR DOUBTFUL DEBTS</v>
          </cell>
          <cell r="AW248" t="str">
            <v>.</v>
          </cell>
          <cell r="AX248" t="str">
            <v>DỰ PHÒNG PHẢI THU KHÓ ĐÒI</v>
          </cell>
          <cell r="CN248" t="str">
            <v>.</v>
          </cell>
          <cell r="CO248" t="str">
            <v>PROVISION FOR DOUBTFUL DEBTS</v>
          </cell>
          <cell r="ED248" t="str">
            <v>.</v>
          </cell>
          <cell r="EE248" t="str">
            <v>DỰ PHÒNG PHẢI THU KHÓ ĐÒI</v>
          </cell>
        </row>
        <row r="250">
          <cell r="Z250" t="str">
            <v>Ending bal'</v>
          </cell>
          <cell r="AI250" t="str">
            <v>Beginning bal'</v>
          </cell>
          <cell r="BS250" t="str">
            <v>Số cuối năm</v>
          </cell>
          <cell r="CB250" t="str">
            <v>Số đầu năm</v>
          </cell>
          <cell r="DJ250" t="str">
            <v>Ending bal'</v>
          </cell>
          <cell r="DS250" t="str">
            <v>Beginning bal'</v>
          </cell>
          <cell r="EZ250" t="str">
            <v>Số cuối năm</v>
          </cell>
          <cell r="FI250" t="str">
            <v>Số đầu năm</v>
          </cell>
        </row>
        <row r="252">
          <cell r="E252" t="str">
            <v>Short-term</v>
          </cell>
          <cell r="Z252">
            <v>0</v>
          </cell>
          <cell r="AI252">
            <v>0</v>
          </cell>
          <cell r="AR252">
            <v>0</v>
          </cell>
          <cell r="AS252">
            <v>0</v>
          </cell>
          <cell r="AX252" t="str">
            <v>Ngắn hạn</v>
          </cell>
          <cell r="BS252">
            <v>0</v>
          </cell>
          <cell r="CB252">
            <v>0</v>
          </cell>
          <cell r="CO252" t="str">
            <v>Short-term</v>
          </cell>
          <cell r="DJ252">
            <v>0</v>
          </cell>
          <cell r="DS252">
            <v>0</v>
          </cell>
          <cell r="EE252" t="str">
            <v>Ngắn hạn</v>
          </cell>
          <cell r="EZ252">
            <v>0</v>
          </cell>
          <cell r="FI252">
            <v>0</v>
          </cell>
        </row>
        <row r="253">
          <cell r="E253" t="str">
            <v>XYZ Corp.</v>
          </cell>
          <cell r="Z253">
            <v>0</v>
          </cell>
          <cell r="AI253">
            <v>0</v>
          </cell>
          <cell r="AR253">
            <v>0</v>
          </cell>
          <cell r="AS253">
            <v>0</v>
          </cell>
          <cell r="AX253" t="str">
            <v>Công ty cổ phần XYZ</v>
          </cell>
          <cell r="BS253">
            <v>0</v>
          </cell>
          <cell r="CB253">
            <v>0</v>
          </cell>
          <cell r="CO253" t="str">
            <v>XYZ Corp.</v>
          </cell>
          <cell r="DJ253">
            <v>0</v>
          </cell>
          <cell r="DS253">
            <v>0</v>
          </cell>
          <cell r="EE253" t="str">
            <v>Công ty cổ phần XYZ</v>
          </cell>
          <cell r="EZ253">
            <v>0</v>
          </cell>
          <cell r="FI253">
            <v>0</v>
          </cell>
        </row>
        <row r="254">
          <cell r="E254" t="str">
            <v>XYZ Corp.</v>
          </cell>
          <cell r="Z254">
            <v>0</v>
          </cell>
          <cell r="AI254">
            <v>0</v>
          </cell>
          <cell r="AX254" t="str">
            <v>Công ty cổ phần XYZ</v>
          </cell>
          <cell r="BS254">
            <v>0</v>
          </cell>
          <cell r="CB254">
            <v>0</v>
          </cell>
          <cell r="CO254" t="str">
            <v>XYZ Corp.</v>
          </cell>
          <cell r="DJ254">
            <v>0</v>
          </cell>
          <cell r="DS254">
            <v>0</v>
          </cell>
          <cell r="EE254" t="str">
            <v>Công ty cổ phần XYZ</v>
          </cell>
          <cell r="EZ254">
            <v>0</v>
          </cell>
          <cell r="FI254">
            <v>0</v>
          </cell>
        </row>
        <row r="256">
          <cell r="E256" t="str">
            <v>Long-term</v>
          </cell>
          <cell r="Z256">
            <v>0</v>
          </cell>
          <cell r="AI256">
            <v>0</v>
          </cell>
          <cell r="AX256" t="str">
            <v>Dài hạn</v>
          </cell>
          <cell r="BS256">
            <v>0</v>
          </cell>
          <cell r="CB256">
            <v>0</v>
          </cell>
          <cell r="CO256" t="str">
            <v>Long-term</v>
          </cell>
          <cell r="DJ256">
            <v>0</v>
          </cell>
          <cell r="DS256">
            <v>0</v>
          </cell>
          <cell r="EE256" t="str">
            <v>Dài hạn</v>
          </cell>
          <cell r="EZ256">
            <v>0</v>
          </cell>
          <cell r="FI256">
            <v>0</v>
          </cell>
        </row>
        <row r="257">
          <cell r="E257" t="str">
            <v>XYZ Corp.</v>
          </cell>
          <cell r="Z257">
            <v>0</v>
          </cell>
          <cell r="AI257">
            <v>0</v>
          </cell>
          <cell r="AX257" t="str">
            <v>Công ty cổ phần XYZ</v>
          </cell>
          <cell r="BS257">
            <v>0</v>
          </cell>
          <cell r="CB257">
            <v>0</v>
          </cell>
          <cell r="CO257" t="str">
            <v>XYZ Corp.</v>
          </cell>
          <cell r="DJ257">
            <v>0</v>
          </cell>
          <cell r="DS257">
            <v>0</v>
          </cell>
          <cell r="EE257" t="str">
            <v>Công ty cổ phần XYZ</v>
          </cell>
          <cell r="EZ257">
            <v>0</v>
          </cell>
          <cell r="FI257">
            <v>0</v>
          </cell>
        </row>
        <row r="258">
          <cell r="E258" t="str">
            <v>XYZ Corp.</v>
          </cell>
          <cell r="Z258">
            <v>0</v>
          </cell>
          <cell r="AI258">
            <v>0</v>
          </cell>
          <cell r="AX258" t="str">
            <v>Công ty cổ phần XYZ</v>
          </cell>
          <cell r="BS258">
            <v>0</v>
          </cell>
          <cell r="CB258">
            <v>0</v>
          </cell>
          <cell r="CO258" t="str">
            <v>XYZ Corp.</v>
          </cell>
          <cell r="DJ258">
            <v>0</v>
          </cell>
          <cell r="DS258">
            <v>0</v>
          </cell>
          <cell r="EE258" t="str">
            <v>Công ty cổ phần XYZ</v>
          </cell>
          <cell r="EZ258">
            <v>0</v>
          </cell>
          <cell r="FI258">
            <v>0</v>
          </cell>
        </row>
        <row r="260">
          <cell r="E260" t="str">
            <v>Total</v>
          </cell>
          <cell r="Z260">
            <v>0</v>
          </cell>
          <cell r="AI260">
            <v>0</v>
          </cell>
          <cell r="AX260" t="str">
            <v>Tổng cộng</v>
          </cell>
          <cell r="BS260">
            <v>0</v>
          </cell>
          <cell r="CB260">
            <v>0</v>
          </cell>
          <cell r="CO260" t="str">
            <v>Total</v>
          </cell>
          <cell r="DJ260">
            <v>0</v>
          </cell>
          <cell r="DS260">
            <v>0</v>
          </cell>
          <cell r="EE260" t="str">
            <v>Tổng cộng</v>
          </cell>
          <cell r="EZ260">
            <v>0</v>
          </cell>
          <cell r="FI260">
            <v>0</v>
          </cell>
        </row>
        <row r="261">
          <cell r="E261" t="str">
            <v>Checking point</v>
          </cell>
          <cell r="Z261">
            <v>0</v>
          </cell>
          <cell r="AI261">
            <v>0</v>
          </cell>
          <cell r="AX261" t="str">
            <v>Checking point</v>
          </cell>
          <cell r="BS261">
            <v>0</v>
          </cell>
          <cell r="CB261">
            <v>0</v>
          </cell>
          <cell r="CO261" t="str">
            <v>Checking point</v>
          </cell>
          <cell r="DJ261">
            <v>0</v>
          </cell>
          <cell r="DS261">
            <v>0</v>
          </cell>
          <cell r="EE261" t="str">
            <v>Checking point</v>
          </cell>
          <cell r="EZ261">
            <v>0</v>
          </cell>
          <cell r="FI261">
            <v>0</v>
          </cell>
        </row>
        <row r="263">
          <cell r="E263" t="str">
            <v>Movements in the provision for short-term doubtful debts during the year were as follows:</v>
          </cell>
          <cell r="AX263" t="str">
            <v>Biến động trong năm của dự phòng khoản phải thu ngắn hạn khó đòi như sau:</v>
          </cell>
          <cell r="CO263" t="str">
            <v>Movements in the provision for short-term doubtful debts during the year were as follows:</v>
          </cell>
          <cell r="EE263" t="str">
            <v>Biến động trong năm của dự phòng khoản phải thu ngắn hạn khó đòi như sau:</v>
          </cell>
        </row>
        <row r="265">
          <cell r="Z265" t="str">
            <v>Current year</v>
          </cell>
          <cell r="AI265" t="str">
            <v>Previous year</v>
          </cell>
          <cell r="BS265" t="str">
            <v>Năm nay</v>
          </cell>
          <cell r="CB265" t="str">
            <v>Năm trước</v>
          </cell>
          <cell r="DS265" t="str">
            <v>Current year</v>
          </cell>
          <cell r="FI265" t="str">
            <v>Năm nay</v>
          </cell>
        </row>
        <row r="268">
          <cell r="E268" t="str">
            <v>Beginning balance</v>
          </cell>
          <cell r="Z268">
            <v>0</v>
          </cell>
          <cell r="AI268">
            <v>0</v>
          </cell>
          <cell r="AX268" t="str">
            <v>Số đầu năm</v>
          </cell>
          <cell r="BS268">
            <v>0</v>
          </cell>
          <cell r="CB268">
            <v>0</v>
          </cell>
          <cell r="CO268" t="str">
            <v>Beginning balance</v>
          </cell>
          <cell r="DS268">
            <v>0</v>
          </cell>
          <cell r="EE268" t="str">
            <v>Số đầu năm</v>
          </cell>
          <cell r="FI268">
            <v>0</v>
          </cell>
        </row>
        <row r="269">
          <cell r="E269" t="str">
            <v>Provision recorded in the year</v>
          </cell>
          <cell r="Z269">
            <v>0</v>
          </cell>
          <cell r="AI269">
            <v>0</v>
          </cell>
          <cell r="AR269">
            <v>0</v>
          </cell>
          <cell r="AS269">
            <v>0</v>
          </cell>
          <cell r="AX269" t="str">
            <v>Dự phòng trích lập trong năm</v>
          </cell>
          <cell r="BS269">
            <v>0</v>
          </cell>
          <cell r="CB269">
            <v>0</v>
          </cell>
          <cell r="CO269" t="str">
            <v>Provision recorded in the year</v>
          </cell>
          <cell r="DS269">
            <v>0</v>
          </cell>
          <cell r="ED269" t="str">
            <v/>
          </cell>
          <cell r="EE269" t="str">
            <v>Dự phòng trích lập trong năm</v>
          </cell>
          <cell r="FI269">
            <v>0</v>
          </cell>
        </row>
        <row r="270">
          <cell r="E270" t="str">
            <v>Provision utilised/reversed in the year</v>
          </cell>
          <cell r="Z270">
            <v>0</v>
          </cell>
          <cell r="AI270">
            <v>0</v>
          </cell>
          <cell r="AR270">
            <v>0</v>
          </cell>
          <cell r="AS270">
            <v>0</v>
          </cell>
          <cell r="AX270" t="str">
            <v>Dự phòng sử dụng/hoàn nhập trong năm</v>
          </cell>
          <cell r="BS270">
            <v>0</v>
          </cell>
          <cell r="CB270">
            <v>0</v>
          </cell>
          <cell r="CO270" t="str">
            <v>Provision utilised/reversed in the year</v>
          </cell>
          <cell r="DS270">
            <v>0</v>
          </cell>
          <cell r="ED270" t="str">
            <v/>
          </cell>
          <cell r="EE270" t="str">
            <v>Dự phòng sử dụng/hoàn nhập trong năm</v>
          </cell>
          <cell r="FI270">
            <v>0</v>
          </cell>
        </row>
        <row r="271">
          <cell r="E271" t="str">
            <v>Ending balance</v>
          </cell>
          <cell r="Z271">
            <v>0</v>
          </cell>
          <cell r="AI271">
            <v>0</v>
          </cell>
          <cell r="AX271" t="str">
            <v>Số cuối năm</v>
          </cell>
          <cell r="BS271">
            <v>0</v>
          </cell>
          <cell r="CB271">
            <v>0</v>
          </cell>
          <cell r="CO271" t="str">
            <v>FX difference (*)</v>
          </cell>
          <cell r="DS271">
            <v>0</v>
          </cell>
          <cell r="EE271" t="str">
            <v>CLTG (*)</v>
          </cell>
          <cell r="FI271">
            <v>0</v>
          </cell>
        </row>
        <row r="272">
          <cell r="E272" t="str">
            <v>Checking point</v>
          </cell>
          <cell r="Z272">
            <v>0</v>
          </cell>
          <cell r="AI272">
            <v>0</v>
          </cell>
          <cell r="AX272" t="str">
            <v>Checking point</v>
          </cell>
          <cell r="BS272">
            <v>0</v>
          </cell>
          <cell r="CB272">
            <v>0</v>
          </cell>
          <cell r="CO272" t="str">
            <v>Ending balance</v>
          </cell>
          <cell r="DS272">
            <v>0</v>
          </cell>
          <cell r="ED272" t="str">
            <v/>
          </cell>
          <cell r="EE272" t="str">
            <v>Số cuối năm</v>
          </cell>
          <cell r="FI272">
            <v>0</v>
          </cell>
        </row>
        <row r="273">
          <cell r="E273" t="str">
            <v>Checking point</v>
          </cell>
          <cell r="Z273">
            <v>0</v>
          </cell>
          <cell r="AI273">
            <v>0</v>
          </cell>
          <cell r="AX273" t="str">
            <v>Checking point</v>
          </cell>
          <cell r="BS273">
            <v>0</v>
          </cell>
          <cell r="CB273">
            <v>0</v>
          </cell>
          <cell r="CO273" t="str">
            <v>Checking point</v>
          </cell>
          <cell r="DS273">
            <v>0</v>
          </cell>
          <cell r="EE273" t="str">
            <v>Checking point</v>
          </cell>
          <cell r="FI273">
            <v>0</v>
          </cell>
        </row>
        <row r="275">
          <cell r="CO275" t="str">
            <v>FX difference (*): derived from the difference between exchange rates applied to translate.</v>
          </cell>
          <cell r="EE275" t="str">
            <v>CLTG (*): phát sinh do sự khác nhau giữa các tỷ giá áp dụng để chuyển đổi.</v>
          </cell>
        </row>
        <row r="277">
          <cell r="D277" t="str">
            <v>9.</v>
          </cell>
          <cell r="E277" t="str">
            <v>INVENTORIES</v>
          </cell>
          <cell r="AW277" t="str">
            <v>9.</v>
          </cell>
          <cell r="AX277" t="str">
            <v>HÀNG TỒN KHO</v>
          </cell>
          <cell r="CN277" t="str">
            <v>9.</v>
          </cell>
          <cell r="CO277" t="str">
            <v>INVENTORIES</v>
          </cell>
          <cell r="ED277" t="str">
            <v>9.</v>
          </cell>
          <cell r="EE277" t="str">
            <v>HÀNG TỒN KHO</v>
          </cell>
        </row>
        <row r="279">
          <cell r="AA279" t="str">
            <v>Ending bal'</v>
          </cell>
          <cell r="AP279" t="str">
            <v>Beginning bal'</v>
          </cell>
          <cell r="BT279" t="str">
            <v>Số cuối năm</v>
          </cell>
          <cell r="CI279" t="str">
            <v>Số đầu năm</v>
          </cell>
          <cell r="DK279" t="str">
            <v>Ending bal'</v>
          </cell>
          <cell r="DZ279" t="str">
            <v>Beginning bal'</v>
          </cell>
          <cell r="FA279" t="str">
            <v>Số cuối năm</v>
          </cell>
          <cell r="FP279" t="str">
            <v>Số đầu năm</v>
          </cell>
        </row>
        <row r="280">
          <cell r="T280" t="str">
            <v>Historical cost</v>
          </cell>
          <cell r="AA280" t="str">
            <v>Provision</v>
          </cell>
          <cell r="AI280" t="str">
            <v>Historical cost</v>
          </cell>
          <cell r="AP280" t="str">
            <v>Provision</v>
          </cell>
          <cell r="BM280" t="str">
            <v>Giá gốc</v>
          </cell>
          <cell r="BT280" t="str">
            <v>Dự phòng</v>
          </cell>
          <cell r="CB280" t="str">
            <v>Giá gốc</v>
          </cell>
          <cell r="CI280" t="str">
            <v>Dự phòng</v>
          </cell>
          <cell r="DD280" t="str">
            <v>Historical cost</v>
          </cell>
          <cell r="DK280" t="str">
            <v>Provision</v>
          </cell>
          <cell r="DS280" t="str">
            <v>Historical cost</v>
          </cell>
          <cell r="DZ280" t="str">
            <v>Provision</v>
          </cell>
          <cell r="ET280" t="str">
            <v>Giá gốc</v>
          </cell>
          <cell r="FA280" t="str">
            <v>Dự phòng</v>
          </cell>
          <cell r="FI280" t="str">
            <v>Giá gốc</v>
          </cell>
          <cell r="FP280" t="str">
            <v>Dự phòng</v>
          </cell>
        </row>
        <row r="282">
          <cell r="E282" t="str">
            <v>Goods in transit</v>
          </cell>
          <cell r="T282" t="str">
            <v>-</v>
          </cell>
          <cell r="AA282" t="str">
            <v>-</v>
          </cell>
          <cell r="AI282" t="str">
            <v>-</v>
          </cell>
          <cell r="AP282" t="str">
            <v>-</v>
          </cell>
          <cell r="AX282" t="str">
            <v>Hàng mua đang đi đường</v>
          </cell>
          <cell r="BM282" t="str">
            <v>-</v>
          </cell>
          <cell r="BT282" t="str">
            <v>-</v>
          </cell>
          <cell r="CB282" t="str">
            <v>-</v>
          </cell>
          <cell r="CI282" t="str">
            <v>-</v>
          </cell>
          <cell r="CO282" t="str">
            <v>Goods in transit</v>
          </cell>
          <cell r="DD282" t="str">
            <v>-</v>
          </cell>
          <cell r="DK282" t="str">
            <v>-</v>
          </cell>
          <cell r="DS282" t="str">
            <v>-</v>
          </cell>
          <cell r="DZ282" t="str">
            <v>-</v>
          </cell>
          <cell r="EE282" t="str">
            <v>Hàng mua đang đi đường</v>
          </cell>
          <cell r="ET282" t="str">
            <v>-</v>
          </cell>
          <cell r="FA282" t="str">
            <v>-</v>
          </cell>
          <cell r="FI282" t="str">
            <v>-</v>
          </cell>
          <cell r="FP282" t="str">
            <v>-</v>
          </cell>
        </row>
        <row r="283">
          <cell r="E283" t="str">
            <v>Raw materials</v>
          </cell>
          <cell r="T283" t="str">
            <v>-</v>
          </cell>
          <cell r="AA283" t="str">
            <v>-</v>
          </cell>
          <cell r="AI283" t="str">
            <v>-</v>
          </cell>
          <cell r="AP283" t="str">
            <v>-</v>
          </cell>
          <cell r="AX283" t="str">
            <v>Nguyên liệu, vật liệu</v>
          </cell>
          <cell r="BM283" t="str">
            <v>-</v>
          </cell>
          <cell r="BT283" t="str">
            <v>-</v>
          </cell>
          <cell r="CB283" t="str">
            <v>-</v>
          </cell>
          <cell r="CI283" t="str">
            <v>-</v>
          </cell>
          <cell r="CO283" t="str">
            <v>Raw materials</v>
          </cell>
          <cell r="DD283" t="str">
            <v>-</v>
          </cell>
          <cell r="DK283" t="str">
            <v>-</v>
          </cell>
          <cell r="DS283" t="str">
            <v>-</v>
          </cell>
          <cell r="DZ283" t="str">
            <v>-</v>
          </cell>
          <cell r="EE283" t="str">
            <v>Nguyên liệu, vật liệu</v>
          </cell>
          <cell r="ET283" t="str">
            <v>-</v>
          </cell>
          <cell r="FA283" t="str">
            <v>-</v>
          </cell>
          <cell r="FI283" t="str">
            <v>-</v>
          </cell>
          <cell r="FP283" t="str">
            <v>-</v>
          </cell>
        </row>
        <row r="284">
          <cell r="E284" t="str">
            <v>Tools and supplies</v>
          </cell>
          <cell r="T284" t="str">
            <v>-</v>
          </cell>
          <cell r="AA284" t="str">
            <v>-</v>
          </cell>
          <cell r="AI284" t="str">
            <v>-</v>
          </cell>
          <cell r="AP284" t="str">
            <v>-</v>
          </cell>
          <cell r="AX284" t="str">
            <v>Công cụ, dụng cụ</v>
          </cell>
          <cell r="BM284" t="str">
            <v>-</v>
          </cell>
          <cell r="BT284" t="str">
            <v>-</v>
          </cell>
          <cell r="CB284" t="str">
            <v>-</v>
          </cell>
          <cell r="CI284" t="str">
            <v>-</v>
          </cell>
          <cell r="CO284" t="str">
            <v>Tools and supplies</v>
          </cell>
          <cell r="DD284" t="str">
            <v>-</v>
          </cell>
          <cell r="DK284" t="str">
            <v>-</v>
          </cell>
          <cell r="DS284" t="str">
            <v>-</v>
          </cell>
          <cell r="DZ284" t="str">
            <v>-</v>
          </cell>
          <cell r="EE284" t="str">
            <v>Công cụ, dụng cụ</v>
          </cell>
          <cell r="ET284" t="str">
            <v>-</v>
          </cell>
          <cell r="FA284" t="str">
            <v>-</v>
          </cell>
          <cell r="FI284" t="str">
            <v>-</v>
          </cell>
          <cell r="FP284" t="str">
            <v>-</v>
          </cell>
        </row>
        <row r="285">
          <cell r="E285" t="str">
            <v>Work-in-progress</v>
          </cell>
          <cell r="T285" t="str">
            <v>-</v>
          </cell>
          <cell r="AA285" t="str">
            <v>-</v>
          </cell>
          <cell r="AI285" t="str">
            <v>-</v>
          </cell>
          <cell r="AP285" t="str">
            <v>-</v>
          </cell>
          <cell r="AX285" t="str">
            <v>Chi phí sản xuất, kinh doanh dở dang</v>
          </cell>
          <cell r="BM285" t="str">
            <v>-</v>
          </cell>
          <cell r="BT285" t="str">
            <v>-</v>
          </cell>
          <cell r="CB285" t="str">
            <v>-</v>
          </cell>
          <cell r="CI285" t="str">
            <v>-</v>
          </cell>
          <cell r="CO285" t="str">
            <v>Work-in-progress</v>
          </cell>
          <cell r="DD285" t="str">
            <v>-</v>
          </cell>
          <cell r="DK285" t="str">
            <v>-</v>
          </cell>
          <cell r="DS285" t="str">
            <v>-</v>
          </cell>
          <cell r="DZ285" t="str">
            <v>-</v>
          </cell>
          <cell r="EE285" t="str">
            <v>Chi phí sản xuất, kinh doanh dở dang</v>
          </cell>
          <cell r="ET285" t="str">
            <v>-</v>
          </cell>
          <cell r="FA285" t="str">
            <v>-</v>
          </cell>
          <cell r="FI285" t="str">
            <v>-</v>
          </cell>
          <cell r="FP285" t="str">
            <v>-</v>
          </cell>
        </row>
        <row r="287">
          <cell r="E287" t="str">
            <v>Finished goods</v>
          </cell>
          <cell r="T287" t="str">
            <v>-</v>
          </cell>
          <cell r="AA287" t="str">
            <v>-</v>
          </cell>
          <cell r="AI287" t="str">
            <v>-</v>
          </cell>
          <cell r="AP287" t="str">
            <v>-</v>
          </cell>
          <cell r="AS287">
            <v>0</v>
          </cell>
          <cell r="AX287" t="str">
            <v>Thành phẩm</v>
          </cell>
          <cell r="BM287" t="str">
            <v>-</v>
          </cell>
          <cell r="BT287" t="str">
            <v>-</v>
          </cell>
          <cell r="CB287" t="str">
            <v>-</v>
          </cell>
          <cell r="CI287" t="str">
            <v>-</v>
          </cell>
          <cell r="CO287" t="str">
            <v>Finished goods</v>
          </cell>
          <cell r="DD287" t="str">
            <v>-</v>
          </cell>
          <cell r="DK287" t="str">
            <v>-</v>
          </cell>
          <cell r="DS287" t="str">
            <v>-</v>
          </cell>
          <cell r="DZ287" t="str">
            <v>-</v>
          </cell>
          <cell r="EE287" t="str">
            <v>Thành phẩm</v>
          </cell>
          <cell r="ET287" t="str">
            <v>-</v>
          </cell>
          <cell r="FA287" t="str">
            <v>-</v>
          </cell>
          <cell r="FI287" t="str">
            <v>-</v>
          </cell>
          <cell r="FP287" t="str">
            <v>-</v>
          </cell>
        </row>
        <row r="288">
          <cell r="E288" t="str">
            <v>Finished goods from processing</v>
          </cell>
          <cell r="T288" t="str">
            <v>-</v>
          </cell>
          <cell r="AA288" t="str">
            <v>-</v>
          </cell>
          <cell r="AI288" t="str">
            <v>-</v>
          </cell>
          <cell r="AP288" t="str">
            <v>-</v>
          </cell>
          <cell r="AX288" t="str">
            <v>Thành phẩm từ gia công</v>
          </cell>
          <cell r="BM288" t="str">
            <v>-</v>
          </cell>
          <cell r="BT288" t="str">
            <v>-</v>
          </cell>
          <cell r="CB288" t="str">
            <v>-</v>
          </cell>
          <cell r="CI288" t="str">
            <v>-</v>
          </cell>
          <cell r="CO288" t="str">
            <v>Finished goods from processing</v>
          </cell>
          <cell r="DD288" t="str">
            <v>-</v>
          </cell>
          <cell r="DK288" t="str">
            <v>-</v>
          </cell>
          <cell r="DS288" t="str">
            <v>-</v>
          </cell>
          <cell r="DZ288" t="str">
            <v>-</v>
          </cell>
          <cell r="ED288" t="str">
            <v/>
          </cell>
          <cell r="EE288" t="str">
            <v>Thành phẩm từ gia công</v>
          </cell>
          <cell r="ET288" t="str">
            <v>-</v>
          </cell>
          <cell r="FA288" t="str">
            <v>-</v>
          </cell>
          <cell r="FI288" t="str">
            <v>-</v>
          </cell>
          <cell r="FP288" t="str">
            <v>-</v>
          </cell>
        </row>
        <row r="290">
          <cell r="E290" t="str">
            <v>Merchandise</v>
          </cell>
          <cell r="T290" t="str">
            <v>484.937.946</v>
          </cell>
          <cell r="AA290" t="str">
            <v>(484.937.946)</v>
          </cell>
          <cell r="AI290" t="str">
            <v>-</v>
          </cell>
          <cell r="AP290" t="str">
            <v>-</v>
          </cell>
          <cell r="AX290" t="str">
            <v>Hàng hóa</v>
          </cell>
          <cell r="BM290" t="str">
            <v>484.937.946</v>
          </cell>
          <cell r="BT290" t="str">
            <v>(484.937.946)</v>
          </cell>
          <cell r="CB290" t="str">
            <v>-</v>
          </cell>
          <cell r="CI290" t="str">
            <v>-</v>
          </cell>
          <cell r="CO290" t="str">
            <v>Merchandise</v>
          </cell>
          <cell r="DD290" t="str">
            <v>11.032.338.272</v>
          </cell>
          <cell r="DK290" t="str">
            <v>(11.032.338.272)</v>
          </cell>
          <cell r="DS290" t="str">
            <v>-</v>
          </cell>
          <cell r="DZ290" t="str">
            <v>-</v>
          </cell>
          <cell r="EE290" t="str">
            <v>Hàng hóa</v>
          </cell>
          <cell r="ET290" t="str">
            <v>11.032.338.272</v>
          </cell>
          <cell r="FA290" t="str">
            <v>(11.032.338.272)</v>
          </cell>
          <cell r="FI290" t="str">
            <v>-</v>
          </cell>
          <cell r="FP290" t="str">
            <v>-</v>
          </cell>
        </row>
        <row r="291">
          <cell r="E291" t="str">
            <v>Goods on consignment</v>
          </cell>
          <cell r="T291" t="str">
            <v>-</v>
          </cell>
          <cell r="AA291" t="str">
            <v>-</v>
          </cell>
          <cell r="AI291" t="str">
            <v>-</v>
          </cell>
          <cell r="AP291" t="str">
            <v>-</v>
          </cell>
          <cell r="AX291" t="str">
            <v>Hàng gửi đi bán</v>
          </cell>
          <cell r="BM291" t="str">
            <v>-</v>
          </cell>
          <cell r="BT291" t="str">
            <v>-</v>
          </cell>
          <cell r="CB291" t="str">
            <v>-</v>
          </cell>
          <cell r="CI291" t="str">
            <v>-</v>
          </cell>
          <cell r="CO291" t="str">
            <v>Goods on consignment</v>
          </cell>
          <cell r="DD291" t="str">
            <v>-</v>
          </cell>
          <cell r="DK291" t="str">
            <v>-</v>
          </cell>
          <cell r="DS291" t="str">
            <v>-</v>
          </cell>
          <cell r="DZ291" t="str">
            <v>-</v>
          </cell>
          <cell r="EE291" t="str">
            <v>Hàng gửi đi bán</v>
          </cell>
          <cell r="ET291" t="str">
            <v>-</v>
          </cell>
          <cell r="FA291" t="str">
            <v>-</v>
          </cell>
          <cell r="FI291" t="str">
            <v>-</v>
          </cell>
          <cell r="FP291" t="str">
            <v>-</v>
          </cell>
        </row>
        <row r="292">
          <cell r="E292" t="str">
            <v>Inventories in bonded warehouse</v>
          </cell>
          <cell r="T292" t="str">
            <v>-</v>
          </cell>
          <cell r="AA292" t="str">
            <v>-</v>
          </cell>
          <cell r="AI292" t="str">
            <v>-</v>
          </cell>
          <cell r="AP292" t="str">
            <v>-</v>
          </cell>
          <cell r="AX292" t="str">
            <v>Hàng hóa kho bảo thuế</v>
          </cell>
          <cell r="BM292" t="str">
            <v>-</v>
          </cell>
          <cell r="BT292" t="str">
            <v>-</v>
          </cell>
          <cell r="CB292" t="str">
            <v>-</v>
          </cell>
          <cell r="CI292" t="str">
            <v>-</v>
          </cell>
          <cell r="CO292" t="str">
            <v>Inventories in bonded warehouse</v>
          </cell>
          <cell r="DD292" t="str">
            <v>-</v>
          </cell>
          <cell r="DK292" t="str">
            <v>-</v>
          </cell>
          <cell r="DS292" t="str">
            <v>-</v>
          </cell>
          <cell r="DZ292" t="str">
            <v>-</v>
          </cell>
          <cell r="EE292" t="str">
            <v>Hàng hóa kho bảo thuế</v>
          </cell>
          <cell r="ET292" t="str">
            <v>-</v>
          </cell>
          <cell r="FA292" t="str">
            <v>-</v>
          </cell>
          <cell r="FI292" t="str">
            <v>-</v>
          </cell>
          <cell r="FP292" t="str">
            <v>-</v>
          </cell>
        </row>
        <row r="294">
          <cell r="E294" t="str">
            <v>Total</v>
          </cell>
          <cell r="T294" t="str">
            <v>484.937.946</v>
          </cell>
          <cell r="AA294" t="str">
            <v>(484.937.946)</v>
          </cell>
          <cell r="AI294" t="str">
            <v>-</v>
          </cell>
          <cell r="AP294" t="str">
            <v>-</v>
          </cell>
          <cell r="AX294" t="str">
            <v>Tổng cộng</v>
          </cell>
          <cell r="BM294" t="str">
            <v>484.937.946</v>
          </cell>
          <cell r="BT294" t="str">
            <v>(484.937.946)</v>
          </cell>
          <cell r="CB294" t="str">
            <v>-</v>
          </cell>
          <cell r="CI294" t="str">
            <v>-</v>
          </cell>
          <cell r="CO294" t="str">
            <v>Total</v>
          </cell>
          <cell r="DD294" t="str">
            <v>11.032.338.272</v>
          </cell>
          <cell r="DK294" t="str">
            <v>(11.032.338.272)</v>
          </cell>
          <cell r="DS294" t="str">
            <v>-</v>
          </cell>
          <cell r="DZ294" t="str">
            <v>-</v>
          </cell>
          <cell r="EE294" t="str">
            <v>Tổng cộng</v>
          </cell>
          <cell r="ET294" t="str">
            <v>11.032.338.272</v>
          </cell>
          <cell r="FA294" t="str">
            <v>(11.032.338.272)</v>
          </cell>
          <cell r="FI294" t="str">
            <v>-</v>
          </cell>
          <cell r="FP294" t="str">
            <v>-</v>
          </cell>
        </row>
        <row r="295">
          <cell r="E295" t="str">
            <v>Checking point</v>
          </cell>
          <cell r="N295" t="e">
            <v>#VALUE!</v>
          </cell>
          <cell r="U295" t="e">
            <v>#VALUE!</v>
          </cell>
          <cell r="AC295">
            <v>0</v>
          </cell>
          <cell r="AJ295">
            <v>0</v>
          </cell>
          <cell r="AX295" t="str">
            <v>Checking point</v>
          </cell>
          <cell r="BG295" t="e">
            <v>#VALUE!</v>
          </cell>
          <cell r="BN295" t="e">
            <v>#VALUE!</v>
          </cell>
          <cell r="BV295">
            <v>0</v>
          </cell>
          <cell r="CC295">
            <v>0</v>
          </cell>
          <cell r="CO295" t="str">
            <v>Checking point</v>
          </cell>
          <cell r="CX295" t="e">
            <v>#VALUE!</v>
          </cell>
          <cell r="DE295" t="e">
            <v>#VALUE!</v>
          </cell>
          <cell r="DM295">
            <v>7530346489</v>
          </cell>
          <cell r="DT295">
            <v>0</v>
          </cell>
          <cell r="EE295" t="str">
            <v>Checking point</v>
          </cell>
          <cell r="EN295" t="e">
            <v>#VALUE!</v>
          </cell>
          <cell r="EU295" t="e">
            <v>#VALUE!</v>
          </cell>
          <cell r="FC295">
            <v>7530346489</v>
          </cell>
          <cell r="FJ295">
            <v>0</v>
          </cell>
        </row>
        <row r="297">
          <cell r="E297" t="str">
            <v>Provision for devaluation of inventories</v>
          </cell>
          <cell r="AX297" t="str">
            <v>Dự phòng giảm giá hàng tồn kho</v>
          </cell>
          <cell r="CO297" t="str">
            <v>Provision for devaluation of inventories</v>
          </cell>
          <cell r="ED297" t="str">
            <v/>
          </cell>
          <cell r="EE297" t="str">
            <v>Dự phòng giảm giá hàng tồn kho</v>
          </cell>
        </row>
        <row r="299">
          <cell r="Z299" t="str">
            <v>Current year</v>
          </cell>
          <cell r="AI299" t="str">
            <v>Previous year</v>
          </cell>
          <cell r="BS299" t="str">
            <v>Năm nay</v>
          </cell>
          <cell r="CB299" t="str">
            <v>Năm trước</v>
          </cell>
          <cell r="DS299" t="str">
            <v>Current year</v>
          </cell>
          <cell r="FI299" t="str">
            <v>Năm nay</v>
          </cell>
        </row>
        <row r="302">
          <cell r="E302" t="str">
            <v>Beginning balance</v>
          </cell>
          <cell r="Z302">
            <v>0</v>
          </cell>
          <cell r="AI302">
            <v>0</v>
          </cell>
          <cell r="AR302">
            <v>0</v>
          </cell>
          <cell r="AS302">
            <v>0</v>
          </cell>
          <cell r="AX302" t="str">
            <v>Số đầu năm</v>
          </cell>
          <cell r="BS302">
            <v>0</v>
          </cell>
          <cell r="CB302">
            <v>0</v>
          </cell>
          <cell r="CO302" t="str">
            <v>Beginning balance</v>
          </cell>
          <cell r="DS302">
            <v>0</v>
          </cell>
          <cell r="EE302" t="str">
            <v>Số đầu năm</v>
          </cell>
          <cell r="FI302">
            <v>0</v>
          </cell>
        </row>
        <row r="303">
          <cell r="E303" t="str">
            <v>Provision recorded in the year</v>
          </cell>
          <cell r="Z303">
            <v>0</v>
          </cell>
          <cell r="AI303">
            <v>0</v>
          </cell>
          <cell r="AR303">
            <v>0</v>
          </cell>
          <cell r="AS303">
            <v>0</v>
          </cell>
          <cell r="AX303" t="str">
            <v>Dự phòng trích lập trong năm</v>
          </cell>
          <cell r="BS303">
            <v>0</v>
          </cell>
          <cell r="CB303">
            <v>0</v>
          </cell>
          <cell r="CO303" t="str">
            <v>Provision recorded in the year</v>
          </cell>
          <cell r="DS303">
            <v>0</v>
          </cell>
          <cell r="ED303" t="str">
            <v/>
          </cell>
          <cell r="EE303" t="str">
            <v>Dự phòng trích lập trong năm</v>
          </cell>
          <cell r="FI303">
            <v>0</v>
          </cell>
        </row>
        <row r="304">
          <cell r="E304" t="str">
            <v>Provision utilised/reversed in the year</v>
          </cell>
          <cell r="Z304">
            <v>0</v>
          </cell>
          <cell r="AI304">
            <v>0</v>
          </cell>
          <cell r="AR304">
            <v>0</v>
          </cell>
          <cell r="AS304">
            <v>0</v>
          </cell>
          <cell r="AX304" t="str">
            <v>Dự phòng sử dụng/hoàn nhập trong năm</v>
          </cell>
          <cell r="BS304">
            <v>0</v>
          </cell>
          <cell r="CB304">
            <v>0</v>
          </cell>
          <cell r="CO304" t="str">
            <v>Provision utilised/reversed in the year</v>
          </cell>
          <cell r="DS304">
            <v>0</v>
          </cell>
          <cell r="ED304" t="str">
            <v/>
          </cell>
          <cell r="EE304" t="str">
            <v>Dự phòng sử dụng/hoàn nhập trong năm</v>
          </cell>
          <cell r="FI304">
            <v>0</v>
          </cell>
        </row>
        <row r="305">
          <cell r="E305" t="str">
            <v>Ending balance</v>
          </cell>
          <cell r="Z305">
            <v>0</v>
          </cell>
          <cell r="AI305">
            <v>0</v>
          </cell>
          <cell r="AX305" t="str">
            <v>Số cuối năm</v>
          </cell>
          <cell r="BS305">
            <v>0</v>
          </cell>
          <cell r="CB305">
            <v>0</v>
          </cell>
          <cell r="CO305" t="str">
            <v>FX difference (*)</v>
          </cell>
          <cell r="DS305">
            <v>0</v>
          </cell>
          <cell r="EE305" t="str">
            <v>CLTG (*)</v>
          </cell>
          <cell r="FI305">
            <v>0</v>
          </cell>
        </row>
        <row r="306">
          <cell r="E306" t="str">
            <v>Checking point</v>
          </cell>
          <cell r="Z306">
            <v>0</v>
          </cell>
          <cell r="AI306">
            <v>0</v>
          </cell>
          <cell r="AX306" t="str">
            <v>Checking point</v>
          </cell>
          <cell r="BS306">
            <v>0</v>
          </cell>
          <cell r="CB306">
            <v>0</v>
          </cell>
          <cell r="CO306" t="str">
            <v>Ending balance</v>
          </cell>
          <cell r="DS306">
            <v>0</v>
          </cell>
          <cell r="ED306" t="str">
            <v/>
          </cell>
          <cell r="EE306" t="str">
            <v>Số cuối năm</v>
          </cell>
          <cell r="FI306">
            <v>0</v>
          </cell>
        </row>
        <row r="307">
          <cell r="CO307" t="str">
            <v>Checking point</v>
          </cell>
          <cell r="DS307">
            <v>0</v>
          </cell>
          <cell r="EE307" t="str">
            <v>Checking point</v>
          </cell>
          <cell r="FI307">
            <v>0</v>
          </cell>
        </row>
        <row r="309">
          <cell r="CO309" t="str">
            <v>FX difference (*): derived from the difference between exchange rates applied to translate.</v>
          </cell>
          <cell r="EE309" t="str">
            <v>CLTG (*): phát sinh do sự khác nhau giữa các tỷ giá áp dụng để chuyển đổi.</v>
          </cell>
        </row>
        <row r="311">
          <cell r="D311" t="str">
            <v>10.</v>
          </cell>
          <cell r="E311" t="str">
            <v>PREPAID EXPENSES</v>
          </cell>
          <cell r="AW311" t="str">
            <v>10.</v>
          </cell>
          <cell r="AX311" t="str">
            <v>CHI PHÍ TRẢ TRƯỚC</v>
          </cell>
          <cell r="CN311" t="str">
            <v>10.</v>
          </cell>
          <cell r="CO311" t="str">
            <v>PREPAID EXPENSES</v>
          </cell>
          <cell r="ED311" t="str">
            <v>10.</v>
          </cell>
          <cell r="EE311" t="str">
            <v>CHI PHÍ TRẢ TRƯỚC</v>
          </cell>
        </row>
        <row r="313">
          <cell r="Z313" t="str">
            <v>Ending bal'</v>
          </cell>
          <cell r="AI313" t="str">
            <v>Beginning bal'</v>
          </cell>
          <cell r="BS313" t="str">
            <v>Số cuối năm</v>
          </cell>
          <cell r="CB313" t="str">
            <v>Số đầu năm</v>
          </cell>
          <cell r="DJ313" t="str">
            <v>Ending bal'</v>
          </cell>
          <cell r="DS313" t="str">
            <v>Beginning bal'</v>
          </cell>
          <cell r="EZ313" t="str">
            <v>Số cuối năm</v>
          </cell>
          <cell r="FI313" t="str">
            <v>Số đầu năm</v>
          </cell>
        </row>
        <row r="315">
          <cell r="E315" t="str">
            <v>Short-term</v>
          </cell>
          <cell r="Z315">
            <v>0</v>
          </cell>
          <cell r="AI315">
            <v>0</v>
          </cell>
          <cell r="AX315" t="str">
            <v>Ngắn hạn</v>
          </cell>
          <cell r="BS315">
            <v>0</v>
          </cell>
          <cell r="CB315">
            <v>0</v>
          </cell>
          <cell r="CO315" t="str">
            <v>Short-term</v>
          </cell>
          <cell r="DJ315">
            <v>0</v>
          </cell>
          <cell r="DS315">
            <v>0</v>
          </cell>
          <cell r="ED315" t="str">
            <v/>
          </cell>
          <cell r="EE315" t="str">
            <v>Ngắn hạn</v>
          </cell>
          <cell r="EZ315">
            <v>0</v>
          </cell>
          <cell r="FI315">
            <v>0</v>
          </cell>
        </row>
        <row r="316">
          <cell r="E316" t="str">
            <v>Tools and supplies</v>
          </cell>
          <cell r="Z316">
            <v>0</v>
          </cell>
          <cell r="AI316">
            <v>0</v>
          </cell>
          <cell r="AR316">
            <v>0</v>
          </cell>
          <cell r="AS316">
            <v>0</v>
          </cell>
          <cell r="AX316" t="str">
            <v>Công cụ và dụng cụ</v>
          </cell>
          <cell r="BS316">
            <v>0</v>
          </cell>
          <cell r="CB316">
            <v>0</v>
          </cell>
          <cell r="CO316" t="str">
            <v>Tools and supplies</v>
          </cell>
          <cell r="DJ316">
            <v>0</v>
          </cell>
          <cell r="DS316">
            <v>0</v>
          </cell>
          <cell r="ED316" t="str">
            <v/>
          </cell>
          <cell r="EE316" t="str">
            <v>Công cụ và dụng cụ</v>
          </cell>
          <cell r="EZ316">
            <v>0</v>
          </cell>
          <cell r="FI316">
            <v>0</v>
          </cell>
        </row>
        <row r="317">
          <cell r="E317" t="str">
            <v>Apartment rental expenses</v>
          </cell>
          <cell r="Z317">
            <v>0</v>
          </cell>
          <cell r="AI317">
            <v>0</v>
          </cell>
          <cell r="AX317" t="str">
            <v>Chi phí thuê căn hộ</v>
          </cell>
          <cell r="BS317">
            <v>0</v>
          </cell>
          <cell r="CB317">
            <v>0</v>
          </cell>
          <cell r="CO317" t="str">
            <v>Apartment rental expenses</v>
          </cell>
          <cell r="DJ317">
            <v>0</v>
          </cell>
          <cell r="DS317">
            <v>0</v>
          </cell>
          <cell r="ED317" t="str">
            <v/>
          </cell>
          <cell r="EE317" t="str">
            <v>Chi phí thuê căn hộ</v>
          </cell>
          <cell r="EZ317">
            <v>0</v>
          </cell>
          <cell r="FI317">
            <v>0</v>
          </cell>
        </row>
        <row r="318">
          <cell r="E318" t="str">
            <v>Insurance premium</v>
          </cell>
          <cell r="Z318">
            <v>0</v>
          </cell>
          <cell r="AI318">
            <v>0</v>
          </cell>
          <cell r="AR318">
            <v>0</v>
          </cell>
          <cell r="AS318">
            <v>0</v>
          </cell>
          <cell r="AX318" t="str">
            <v>Phí bảo hiểm</v>
          </cell>
          <cell r="BS318">
            <v>0</v>
          </cell>
          <cell r="CB318">
            <v>0</v>
          </cell>
          <cell r="CO318" t="str">
            <v>Insurance premium</v>
          </cell>
          <cell r="DJ318">
            <v>0</v>
          </cell>
          <cell r="DS318">
            <v>0</v>
          </cell>
          <cell r="ED318" t="str">
            <v/>
          </cell>
          <cell r="EE318" t="str">
            <v>Phí bảo hiểm</v>
          </cell>
          <cell r="EZ318">
            <v>0</v>
          </cell>
          <cell r="FI318">
            <v>0</v>
          </cell>
        </row>
        <row r="319">
          <cell r="E319" t="str">
            <v>Outsourced service expenses</v>
          </cell>
          <cell r="Z319">
            <v>0</v>
          </cell>
          <cell r="AI319">
            <v>0</v>
          </cell>
          <cell r="AR319">
            <v>0</v>
          </cell>
          <cell r="AS319">
            <v>0</v>
          </cell>
          <cell r="AX319" t="str">
            <v>Chi phí dịch vụ mua ngoài</v>
          </cell>
          <cell r="BS319">
            <v>0</v>
          </cell>
          <cell r="CB319">
            <v>0</v>
          </cell>
          <cell r="CO319" t="str">
            <v>Outsourced service expenses</v>
          </cell>
          <cell r="DJ319">
            <v>0</v>
          </cell>
          <cell r="DS319">
            <v>0</v>
          </cell>
          <cell r="ED319" t="str">
            <v/>
          </cell>
          <cell r="EE319" t="str">
            <v>Chi phí dịch vụ mua ngoài</v>
          </cell>
          <cell r="EZ319">
            <v>0</v>
          </cell>
          <cell r="FI319">
            <v>0</v>
          </cell>
        </row>
        <row r="320">
          <cell r="E320" t="str">
            <v>Others</v>
          </cell>
          <cell r="Z320">
            <v>0</v>
          </cell>
          <cell r="AI320">
            <v>0</v>
          </cell>
          <cell r="AR320">
            <v>0</v>
          </cell>
          <cell r="AS320">
            <v>0</v>
          </cell>
          <cell r="AX320" t="str">
            <v>Khác</v>
          </cell>
          <cell r="BS320">
            <v>0</v>
          </cell>
          <cell r="CB320">
            <v>0</v>
          </cell>
          <cell r="CO320" t="str">
            <v>Others</v>
          </cell>
          <cell r="DJ320">
            <v>0</v>
          </cell>
          <cell r="DS320">
            <v>0</v>
          </cell>
          <cell r="ED320" t="str">
            <v/>
          </cell>
          <cell r="EE320" t="str">
            <v>Khác</v>
          </cell>
          <cell r="EZ320">
            <v>0</v>
          </cell>
          <cell r="FI320">
            <v>0</v>
          </cell>
        </row>
        <row r="321">
          <cell r="CO321" t="str">
            <v/>
          </cell>
          <cell r="ED321" t="str">
            <v/>
          </cell>
          <cell r="EE321" t="str">
            <v/>
          </cell>
        </row>
        <row r="322">
          <cell r="E322" t="str">
            <v>Long-term</v>
          </cell>
          <cell r="Z322">
            <v>0</v>
          </cell>
          <cell r="AI322">
            <v>0</v>
          </cell>
          <cell r="AX322" t="str">
            <v>Dài hạn</v>
          </cell>
          <cell r="BS322">
            <v>0</v>
          </cell>
          <cell r="CB322">
            <v>0</v>
          </cell>
          <cell r="CO322" t="str">
            <v>Long-term</v>
          </cell>
          <cell r="DJ322">
            <v>0</v>
          </cell>
          <cell r="DS322">
            <v>0</v>
          </cell>
          <cell r="ED322" t="str">
            <v/>
          </cell>
          <cell r="EE322" t="str">
            <v>Dài hạn</v>
          </cell>
          <cell r="EZ322">
            <v>0</v>
          </cell>
          <cell r="FI322">
            <v>0</v>
          </cell>
        </row>
        <row r="323">
          <cell r="E323" t="str">
            <v>Land lease expenses (2*)</v>
          </cell>
          <cell r="Z323">
            <v>0</v>
          </cell>
          <cell r="AI323">
            <v>0</v>
          </cell>
          <cell r="AX323" t="str">
            <v>Chi phí thuê đất (2*)</v>
          </cell>
          <cell r="BS323">
            <v>0</v>
          </cell>
          <cell r="CB323">
            <v>0</v>
          </cell>
          <cell r="CO323" t="str">
            <v>Land lease expenses (2*)</v>
          </cell>
          <cell r="DJ323">
            <v>0</v>
          </cell>
          <cell r="DS323">
            <v>0</v>
          </cell>
          <cell r="ED323" t="str">
            <v/>
          </cell>
          <cell r="EE323" t="str">
            <v>Chi phí thuê đất (2*)</v>
          </cell>
          <cell r="EZ323">
            <v>0</v>
          </cell>
          <cell r="FI323">
            <v>0</v>
          </cell>
        </row>
        <row r="324">
          <cell r="E324" t="str">
            <v>Factory renovation expenses</v>
          </cell>
          <cell r="Z324">
            <v>0</v>
          </cell>
          <cell r="AI324">
            <v>0</v>
          </cell>
          <cell r="AX324" t="str">
            <v>Chi phí cải tạo nhà xưởng</v>
          </cell>
          <cell r="BS324">
            <v>0</v>
          </cell>
          <cell r="CB324">
            <v>0</v>
          </cell>
          <cell r="CO324" t="str">
            <v>Factory renovation expenses</v>
          </cell>
          <cell r="DJ324">
            <v>0</v>
          </cell>
          <cell r="DS324">
            <v>0</v>
          </cell>
          <cell r="ED324" t="str">
            <v/>
          </cell>
          <cell r="EE324" t="str">
            <v>Chi phí cải tạo nhà xưởng</v>
          </cell>
          <cell r="EZ324">
            <v>0</v>
          </cell>
          <cell r="FI324">
            <v>0</v>
          </cell>
        </row>
        <row r="325">
          <cell r="E325" t="str">
            <v>Machinery and equipment</v>
          </cell>
          <cell r="Z325">
            <v>0</v>
          </cell>
          <cell r="AI325">
            <v>0</v>
          </cell>
          <cell r="AX325" t="str">
            <v>Máy móc, thiết bị</v>
          </cell>
          <cell r="BS325">
            <v>0</v>
          </cell>
          <cell r="CB325">
            <v>0</v>
          </cell>
          <cell r="CO325" t="str">
            <v>Machinery and equipment</v>
          </cell>
          <cell r="DJ325">
            <v>0</v>
          </cell>
          <cell r="DS325">
            <v>0</v>
          </cell>
          <cell r="ED325" t="str">
            <v/>
          </cell>
          <cell r="EE325" t="str">
            <v>Máy móc, thiết bị</v>
          </cell>
          <cell r="EZ325">
            <v>0</v>
          </cell>
          <cell r="FI325">
            <v>0</v>
          </cell>
        </row>
        <row r="326">
          <cell r="E326" t="str">
            <v>Power connection fee</v>
          </cell>
          <cell r="Z326">
            <v>0</v>
          </cell>
          <cell r="AI326">
            <v>0</v>
          </cell>
          <cell r="AX326" t="str">
            <v>Phí kết nối điện</v>
          </cell>
          <cell r="BS326">
            <v>0</v>
          </cell>
          <cell r="CB326">
            <v>0</v>
          </cell>
          <cell r="CO326" t="str">
            <v>Power connection fee</v>
          </cell>
          <cell r="DJ326">
            <v>0</v>
          </cell>
          <cell r="DS326">
            <v>0</v>
          </cell>
          <cell r="ED326" t="str">
            <v/>
          </cell>
          <cell r="EE326" t="str">
            <v>Phí kết nối điện</v>
          </cell>
          <cell r="EZ326">
            <v>0</v>
          </cell>
          <cell r="FI326">
            <v>0</v>
          </cell>
        </row>
        <row r="327">
          <cell r="E327" t="str">
            <v>Office equipment</v>
          </cell>
          <cell r="Z327">
            <v>0</v>
          </cell>
          <cell r="AI327">
            <v>0</v>
          </cell>
          <cell r="AX327" t="str">
            <v>Thiết bị văn phòng</v>
          </cell>
          <cell r="BS327">
            <v>0</v>
          </cell>
          <cell r="CB327">
            <v>0</v>
          </cell>
          <cell r="CO327" t="str">
            <v>Office equipment</v>
          </cell>
          <cell r="DJ327">
            <v>0</v>
          </cell>
          <cell r="DS327">
            <v>0</v>
          </cell>
          <cell r="ED327" t="str">
            <v/>
          </cell>
          <cell r="EE327" t="str">
            <v>Thiết bị văn phòng</v>
          </cell>
          <cell r="EZ327">
            <v>0</v>
          </cell>
          <cell r="FI327">
            <v>0</v>
          </cell>
        </row>
        <row r="328">
          <cell r="ED328" t="str">
            <v/>
          </cell>
        </row>
        <row r="329">
          <cell r="E329" t="str">
            <v>Total</v>
          </cell>
          <cell r="Z329">
            <v>0</v>
          </cell>
          <cell r="AI329">
            <v>0</v>
          </cell>
          <cell r="AX329" t="str">
            <v>Tổng cộng</v>
          </cell>
          <cell r="BS329">
            <v>0</v>
          </cell>
          <cell r="CB329">
            <v>0</v>
          </cell>
          <cell r="CO329" t="str">
            <v>Total</v>
          </cell>
          <cell r="DJ329">
            <v>0</v>
          </cell>
          <cell r="DS329">
            <v>0</v>
          </cell>
          <cell r="ED329" t="str">
            <v/>
          </cell>
          <cell r="EE329" t="str">
            <v>Tổng cộng</v>
          </cell>
          <cell r="EZ329">
            <v>0</v>
          </cell>
          <cell r="FI329">
            <v>0</v>
          </cell>
        </row>
        <row r="330">
          <cell r="E330" t="str">
            <v>Checking point</v>
          </cell>
          <cell r="Z330">
            <v>184463221</v>
          </cell>
          <cell r="AI330">
            <v>149686568</v>
          </cell>
          <cell r="AX330" t="str">
            <v>Checking point</v>
          </cell>
          <cell r="BS330">
            <v>184463221</v>
          </cell>
          <cell r="CB330">
            <v>149686568</v>
          </cell>
          <cell r="CO330" t="str">
            <v>Checking point</v>
          </cell>
          <cell r="DJ330">
            <v>4196538278</v>
          </cell>
          <cell r="DS330">
            <v>3358966586</v>
          </cell>
          <cell r="ED330" t="str">
            <v/>
          </cell>
          <cell r="EE330" t="str">
            <v>Checking point</v>
          </cell>
          <cell r="EZ330">
            <v>4196538278</v>
          </cell>
          <cell r="FI330">
            <v>3358966586</v>
          </cell>
        </row>
        <row r="332">
          <cell r="D332" t="str">
            <v>(2*)</v>
          </cell>
          <cell r="E332" t="str">
            <v>Land lease expenses incurred from below land lease agreement[s]:</v>
          </cell>
          <cell r="AW332" t="str">
            <v>(2*)</v>
          </cell>
          <cell r="AX332" t="str">
            <v>Chi phí thuê đất phát sinh từ "các "hợp đồng thuê đất sau đây:</v>
          </cell>
          <cell r="CN332" t="str">
            <v>(2*)</v>
          </cell>
          <cell r="CO332" t="str">
            <v>Land lease expenses incurred from below land lease agreement[s]:</v>
          </cell>
          <cell r="ED332" t="str">
            <v>(2*)</v>
          </cell>
          <cell r="EE332" t="str">
            <v>Chi phí thuê đất phát sinh từ "các "hợp đồng thuê đất sau đây:</v>
          </cell>
        </row>
        <row r="334">
          <cell r="D334" t="str">
            <v>+</v>
          </cell>
          <cell r="E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AW334" t="str">
            <v>+</v>
          </cell>
          <cell r="AX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cell r="CN334" t="str">
            <v>+</v>
          </cell>
          <cell r="CO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ED334" t="str">
            <v>+</v>
          </cell>
          <cell r="EE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row>
        <row r="342">
          <cell r="D342" t="str">
            <v>+</v>
          </cell>
          <cell r="E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AW342" t="str">
            <v>+</v>
          </cell>
          <cell r="AX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cell r="CN342" t="str">
            <v>+</v>
          </cell>
          <cell r="CO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ED342" t="str">
            <v>+</v>
          </cell>
          <cell r="EE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row>
        <row r="348">
          <cell r="CN348" t="str">
            <v/>
          </cell>
          <cell r="CO348" t="str">
            <v/>
          </cell>
        </row>
        <row r="349">
          <cell r="E349" t="str">
            <v>Land lease expenses amortised for the year is VND 0.</v>
          </cell>
          <cell r="AX349" t="str">
            <v>Chi phí thuê đất phân bổ trong năm là  0 VND.</v>
          </cell>
          <cell r="CO349" t="str">
            <v>The amount of land lease expenses allocated this year is VND 0</v>
          </cell>
          <cell r="EE349" t="str">
            <v>Chi phí thuê đất đã phân bổ trong năm nay là 0 VND.</v>
          </cell>
        </row>
        <row r="351">
          <cell r="D351" t="str">
            <v>.</v>
          </cell>
          <cell r="E351" t="str">
            <v>DEDUCTIBLE VAT</v>
          </cell>
          <cell r="AW351" t="str">
            <v>.</v>
          </cell>
          <cell r="AX351" t="str">
            <v>THUẾ GTGT ĐƯỢC KHẤU TRỪ</v>
          </cell>
          <cell r="CN351" t="str">
            <v>.</v>
          </cell>
          <cell r="CO351" t="str">
            <v>DEDUCTIBLE VAT</v>
          </cell>
          <cell r="ED351" t="str">
            <v>.</v>
          </cell>
          <cell r="EE351" t="str">
            <v>THUẾ GTGT ĐƯỢC KHẤU TRỪ</v>
          </cell>
        </row>
        <row r="353">
          <cell r="Z353" t="str">
            <v>Ending bal'</v>
          </cell>
          <cell r="AI353" t="str">
            <v>Beginning bal'</v>
          </cell>
          <cell r="BS353" t="str">
            <v>Số cuối năm</v>
          </cell>
          <cell r="CB353" t="str">
            <v>Số đầu năm</v>
          </cell>
          <cell r="DJ353" t="str">
            <v>Ending bal'</v>
          </cell>
          <cell r="DS353" t="str">
            <v>Beginning bal'</v>
          </cell>
          <cell r="EZ353" t="str">
            <v>Số cuối năm</v>
          </cell>
          <cell r="FI353" t="str">
            <v>Số đầu năm</v>
          </cell>
        </row>
        <row r="355">
          <cell r="E355" t="str">
            <v>Deductible VAT from…</v>
          </cell>
          <cell r="Z355">
            <v>0</v>
          </cell>
          <cell r="AI355">
            <v>0</v>
          </cell>
          <cell r="AR355">
            <v>0</v>
          </cell>
          <cell r="AS355">
            <v>0</v>
          </cell>
          <cell r="AX355" t="str">
            <v>Thuế GTGT được khấu trừ từ…</v>
          </cell>
          <cell r="BS355">
            <v>0</v>
          </cell>
          <cell r="CB355">
            <v>0</v>
          </cell>
          <cell r="CO355" t="str">
            <v>Deductible VAT from…</v>
          </cell>
          <cell r="DJ355">
            <v>0</v>
          </cell>
          <cell r="DS355">
            <v>0</v>
          </cell>
          <cell r="ED355" t="str">
            <v/>
          </cell>
          <cell r="EE355" t="str">
            <v>Thuế GTGT được khấu trừ từ…</v>
          </cell>
          <cell r="EZ355">
            <v>0</v>
          </cell>
          <cell r="FI355">
            <v>0</v>
          </cell>
        </row>
        <row r="356">
          <cell r="E356" t="str">
            <v>Deductible VAT from…</v>
          </cell>
          <cell r="Z356">
            <v>0</v>
          </cell>
          <cell r="AI356">
            <v>0</v>
          </cell>
          <cell r="AR356">
            <v>0</v>
          </cell>
          <cell r="AS356">
            <v>0</v>
          </cell>
          <cell r="AX356" t="str">
            <v>Thuế GTGT được khấu trừ từ…</v>
          </cell>
          <cell r="BS356">
            <v>0</v>
          </cell>
          <cell r="CB356">
            <v>0</v>
          </cell>
          <cell r="CO356" t="str">
            <v>Deductible VAT from…</v>
          </cell>
          <cell r="DJ356">
            <v>0</v>
          </cell>
          <cell r="DS356">
            <v>0</v>
          </cell>
          <cell r="ED356" t="str">
            <v/>
          </cell>
          <cell r="EE356" t="str">
            <v>Thuế GTGT được khấu trừ từ…</v>
          </cell>
          <cell r="EZ356">
            <v>0</v>
          </cell>
          <cell r="FI356">
            <v>0</v>
          </cell>
        </row>
        <row r="357">
          <cell r="E357" t="str">
            <v>Deductible VAT from…</v>
          </cell>
          <cell r="Z357">
            <v>0</v>
          </cell>
          <cell r="AI357">
            <v>0</v>
          </cell>
          <cell r="AR357">
            <v>0</v>
          </cell>
          <cell r="AS357">
            <v>0</v>
          </cell>
          <cell r="AX357" t="str">
            <v>Thuế GTGT được khấu trừ từ…</v>
          </cell>
          <cell r="BS357">
            <v>0</v>
          </cell>
          <cell r="CB357">
            <v>0</v>
          </cell>
          <cell r="CO357" t="str">
            <v>Deductible VAT from…</v>
          </cell>
          <cell r="DJ357">
            <v>0</v>
          </cell>
          <cell r="DS357">
            <v>0</v>
          </cell>
          <cell r="ED357" t="str">
            <v/>
          </cell>
          <cell r="EE357" t="str">
            <v>Thuế GTGT được khấu trừ từ…</v>
          </cell>
          <cell r="EZ357">
            <v>0</v>
          </cell>
          <cell r="FI357">
            <v>0</v>
          </cell>
        </row>
        <row r="358">
          <cell r="E358" t="str">
            <v>Total</v>
          </cell>
          <cell r="Z358">
            <v>0</v>
          </cell>
          <cell r="AI358">
            <v>0</v>
          </cell>
          <cell r="AX358" t="str">
            <v>Tổng cộng</v>
          </cell>
          <cell r="BS358">
            <v>0</v>
          </cell>
          <cell r="CB358">
            <v>0</v>
          </cell>
          <cell r="CO358" t="str">
            <v>Total</v>
          </cell>
          <cell r="DJ358">
            <v>0</v>
          </cell>
          <cell r="DS358">
            <v>0</v>
          </cell>
          <cell r="ED358" t="str">
            <v/>
          </cell>
          <cell r="EE358" t="str">
            <v>Tổng cộng</v>
          </cell>
          <cell r="EZ358">
            <v>0</v>
          </cell>
          <cell r="FI358">
            <v>0</v>
          </cell>
        </row>
        <row r="359">
          <cell r="E359" t="str">
            <v>Checking point</v>
          </cell>
          <cell r="Z359">
            <v>0</v>
          </cell>
          <cell r="AI359">
            <v>0</v>
          </cell>
          <cell r="AX359" t="str">
            <v>Checking point</v>
          </cell>
          <cell r="BS359">
            <v>0</v>
          </cell>
          <cell r="CB359">
            <v>0</v>
          </cell>
          <cell r="CO359" t="str">
            <v>Checking point</v>
          </cell>
          <cell r="DJ359">
            <v>0</v>
          </cell>
          <cell r="DS359">
            <v>0</v>
          </cell>
          <cell r="EE359" t="str">
            <v>Checking point</v>
          </cell>
          <cell r="EZ359">
            <v>0</v>
          </cell>
          <cell r="FI359">
            <v>0</v>
          </cell>
        </row>
        <row r="361">
          <cell r="D361" t="str">
            <v>.</v>
          </cell>
          <cell r="E361" t="str">
            <v>OTHER SHORT-TERM ASSETS</v>
          </cell>
          <cell r="AW361" t="str">
            <v>.</v>
          </cell>
          <cell r="AX361" t="str">
            <v>TÀI SẢN NGẮN HẠN KHÁC</v>
          </cell>
          <cell r="CN361" t="str">
            <v>.</v>
          </cell>
          <cell r="CO361" t="str">
            <v>OTHER SHORT-TERM ASSETS</v>
          </cell>
          <cell r="ED361" t="str">
            <v>.</v>
          </cell>
          <cell r="EE361" t="str">
            <v>TÀI SẢN NGẮN HẠN KHÁC</v>
          </cell>
        </row>
        <row r="363">
          <cell r="Z363" t="str">
            <v>Ending bal'</v>
          </cell>
          <cell r="AI363" t="str">
            <v>Beginning bal'</v>
          </cell>
          <cell r="BS363" t="str">
            <v>Số cuối năm</v>
          </cell>
          <cell r="CB363" t="str">
            <v>Số đầu năm</v>
          </cell>
          <cell r="DJ363" t="str">
            <v>Ending bal'</v>
          </cell>
          <cell r="DS363" t="str">
            <v>Beginning bal'</v>
          </cell>
          <cell r="EZ363" t="str">
            <v>Số cuối năm</v>
          </cell>
          <cell r="FI363" t="str">
            <v>Số đầu năm</v>
          </cell>
        </row>
        <row r="365">
          <cell r="E365" t="str">
            <v>Short-term</v>
          </cell>
          <cell r="Z365">
            <v>0</v>
          </cell>
          <cell r="AI365">
            <v>0</v>
          </cell>
          <cell r="AR365">
            <v>0</v>
          </cell>
          <cell r="AS365">
            <v>0</v>
          </cell>
          <cell r="AX365" t="str">
            <v>Ngắn hạn</v>
          </cell>
          <cell r="BS365">
            <v>0</v>
          </cell>
          <cell r="CB365">
            <v>0</v>
          </cell>
          <cell r="CO365" t="str">
            <v>Short-term</v>
          </cell>
          <cell r="DJ365">
            <v>0</v>
          </cell>
          <cell r="DS365">
            <v>0</v>
          </cell>
          <cell r="ED365" t="str">
            <v/>
          </cell>
          <cell r="EE365" t="str">
            <v>Ngắn hạn</v>
          </cell>
          <cell r="EZ365">
            <v>0</v>
          </cell>
          <cell r="FI365">
            <v>0</v>
          </cell>
        </row>
        <row r="366">
          <cell r="E366" t="str">
            <v>Precious metals, gemstones</v>
          </cell>
          <cell r="Z366">
            <v>0</v>
          </cell>
          <cell r="AI366">
            <v>0</v>
          </cell>
          <cell r="AR366">
            <v>0</v>
          </cell>
          <cell r="AS366">
            <v>0</v>
          </cell>
          <cell r="AX366" t="str">
            <v>Kim loại quý, đá quý</v>
          </cell>
          <cell r="BS366">
            <v>0</v>
          </cell>
          <cell r="CB366">
            <v>0</v>
          </cell>
          <cell r="CO366" t="str">
            <v>Precious metals, gemstones</v>
          </cell>
          <cell r="DJ366">
            <v>0</v>
          </cell>
          <cell r="DS366">
            <v>0</v>
          </cell>
          <cell r="ED366" t="str">
            <v/>
          </cell>
          <cell r="EE366" t="str">
            <v>Kim loại quý, đá quý</v>
          </cell>
          <cell r="EZ366">
            <v>0</v>
          </cell>
          <cell r="FI366">
            <v>0</v>
          </cell>
        </row>
        <row r="367">
          <cell r="E367" t="str">
            <v>Paintings, photos, others</v>
          </cell>
          <cell r="Z367">
            <v>0</v>
          </cell>
          <cell r="AI367">
            <v>0</v>
          </cell>
          <cell r="AX367" t="str">
            <v>Tranh, ảnh, vật phẩm</v>
          </cell>
          <cell r="BS367">
            <v>0</v>
          </cell>
          <cell r="CB367">
            <v>0</v>
          </cell>
          <cell r="CO367" t="str">
            <v>Paintings, photos, others</v>
          </cell>
          <cell r="DJ367">
            <v>0</v>
          </cell>
          <cell r="DS367">
            <v>0</v>
          </cell>
          <cell r="ED367" t="str">
            <v/>
          </cell>
          <cell r="EE367" t="str">
            <v>Tranh, ảnh, vật phẩm</v>
          </cell>
          <cell r="EZ367">
            <v>0</v>
          </cell>
          <cell r="FI367">
            <v>0</v>
          </cell>
        </row>
        <row r="368">
          <cell r="CO368" t="str">
            <v/>
          </cell>
          <cell r="ED368" t="str">
            <v/>
          </cell>
          <cell r="EE368" t="str">
            <v/>
          </cell>
        </row>
        <row r="369">
          <cell r="E369" t="str">
            <v>Long-term</v>
          </cell>
          <cell r="Z369">
            <v>0</v>
          </cell>
          <cell r="AI369">
            <v>0</v>
          </cell>
          <cell r="AX369" t="str">
            <v>Dài hạn</v>
          </cell>
          <cell r="BS369">
            <v>0</v>
          </cell>
          <cell r="CB369">
            <v>0</v>
          </cell>
          <cell r="CO369" t="str">
            <v>Long-term</v>
          </cell>
          <cell r="DJ369">
            <v>0</v>
          </cell>
          <cell r="DS369">
            <v>0</v>
          </cell>
          <cell r="ED369" t="str">
            <v/>
          </cell>
          <cell r="EE369" t="str">
            <v>Dài hạn</v>
          </cell>
          <cell r="EZ369">
            <v>0</v>
          </cell>
          <cell r="FI369">
            <v>0</v>
          </cell>
        </row>
        <row r="370">
          <cell r="E370" t="str">
            <v>Precious metals, gemstones</v>
          </cell>
          <cell r="Z370">
            <v>0</v>
          </cell>
          <cell r="AI370">
            <v>0</v>
          </cell>
          <cell r="AX370" t="str">
            <v>Kim loại quý, đá quý</v>
          </cell>
          <cell r="BS370">
            <v>0</v>
          </cell>
          <cell r="CB370">
            <v>0</v>
          </cell>
          <cell r="CO370" t="str">
            <v>Precious metals, gemstones</v>
          </cell>
          <cell r="DJ370">
            <v>0</v>
          </cell>
          <cell r="DS370">
            <v>0</v>
          </cell>
          <cell r="ED370" t="str">
            <v/>
          </cell>
          <cell r="EE370" t="str">
            <v>Kim loại quý, đá quý</v>
          </cell>
          <cell r="EZ370">
            <v>0</v>
          </cell>
          <cell r="FI370">
            <v>0</v>
          </cell>
        </row>
        <row r="371">
          <cell r="E371" t="str">
            <v>Paintings, photos, others</v>
          </cell>
          <cell r="Z371">
            <v>0</v>
          </cell>
          <cell r="AI371">
            <v>0</v>
          </cell>
          <cell r="AX371" t="str">
            <v>Tranh, ảnh, vật phẩm</v>
          </cell>
          <cell r="BS371">
            <v>0</v>
          </cell>
          <cell r="CB371">
            <v>0</v>
          </cell>
          <cell r="CO371" t="str">
            <v>Paintings, photos, others</v>
          </cell>
          <cell r="DJ371">
            <v>0</v>
          </cell>
          <cell r="DS371">
            <v>0</v>
          </cell>
          <cell r="ED371" t="str">
            <v/>
          </cell>
          <cell r="EE371" t="str">
            <v>Tranh, ảnh, vật phẩm</v>
          </cell>
          <cell r="EZ371">
            <v>0</v>
          </cell>
          <cell r="FI371">
            <v>0</v>
          </cell>
        </row>
        <row r="372">
          <cell r="CO372" t="str">
            <v/>
          </cell>
          <cell r="ED372" t="str">
            <v/>
          </cell>
          <cell r="EE372" t="str">
            <v/>
          </cell>
        </row>
        <row r="373">
          <cell r="E373" t="str">
            <v>Total</v>
          </cell>
          <cell r="Z373">
            <v>0</v>
          </cell>
          <cell r="AI373">
            <v>0</v>
          </cell>
          <cell r="AX373" t="str">
            <v>Tổng cộng</v>
          </cell>
          <cell r="BS373">
            <v>0</v>
          </cell>
          <cell r="CB373">
            <v>0</v>
          </cell>
          <cell r="CO373" t="str">
            <v>Total</v>
          </cell>
          <cell r="DJ373">
            <v>0</v>
          </cell>
          <cell r="DS373">
            <v>0</v>
          </cell>
          <cell r="ED373" t="str">
            <v/>
          </cell>
          <cell r="EE373" t="str">
            <v>Tổng cộng</v>
          </cell>
          <cell r="EZ373">
            <v>0</v>
          </cell>
          <cell r="FI373">
            <v>0</v>
          </cell>
        </row>
        <row r="374">
          <cell r="E374" t="str">
            <v>Checking point</v>
          </cell>
          <cell r="Z374">
            <v>0</v>
          </cell>
          <cell r="AI374">
            <v>0</v>
          </cell>
          <cell r="AX374" t="str">
            <v>Checking point</v>
          </cell>
          <cell r="BS374">
            <v>0</v>
          </cell>
          <cell r="CB374">
            <v>0</v>
          </cell>
          <cell r="CO374" t="str">
            <v>Checking point</v>
          </cell>
          <cell r="DJ374">
            <v>0</v>
          </cell>
          <cell r="DS374">
            <v>0</v>
          </cell>
          <cell r="ED374" t="str">
            <v/>
          </cell>
          <cell r="EE374" t="str">
            <v>Checking point</v>
          </cell>
          <cell r="EZ374">
            <v>0</v>
          </cell>
          <cell r="FI374">
            <v>0</v>
          </cell>
        </row>
        <row r="376">
          <cell r="D376" t="str">
            <v>.</v>
          </cell>
          <cell r="E376" t="str">
            <v>LONG-TERM RECEIVABLES FROM CUSTOMERS</v>
          </cell>
          <cell r="AW376" t="str">
            <v>.</v>
          </cell>
          <cell r="AX376" t="str">
            <v>PHẢI THU DÀI HẠN CỦA KHÁCH HÀNG</v>
          </cell>
          <cell r="CN376" t="str">
            <v>.</v>
          </cell>
          <cell r="CO376" t="str">
            <v>LONG-TERM RECEIVABLES FROM CUSTOMERS</v>
          </cell>
          <cell r="ED376" t="str">
            <v>.</v>
          </cell>
          <cell r="EE376" t="str">
            <v>PHẢI THU DÀI HẠN CỦA KHÁCH HÀNG</v>
          </cell>
        </row>
        <row r="378">
          <cell r="E378" t="str">
            <v>Chi tiết các KH chiếm từ 10% tổng giá trị phải thu</v>
          </cell>
          <cell r="AX378" t="str">
            <v>Chi tiết các KH chiếm từ 10% tổng giá trị phải thu</v>
          </cell>
        </row>
        <row r="379">
          <cell r="Z379" t="str">
            <v>Ending bal'</v>
          </cell>
          <cell r="AI379" t="str">
            <v>Beginning bal'</v>
          </cell>
          <cell r="BS379" t="str">
            <v>Số cuối năm</v>
          </cell>
          <cell r="CB379" t="str">
            <v>Số đầu năm</v>
          </cell>
          <cell r="DJ379" t="str">
            <v>Ending bal'</v>
          </cell>
          <cell r="DS379" t="str">
            <v>Beginning bal'</v>
          </cell>
          <cell r="EZ379" t="str">
            <v>Số cuối năm</v>
          </cell>
          <cell r="FI379" t="str">
            <v>Số đầu năm</v>
          </cell>
        </row>
        <row r="381">
          <cell r="E381" t="str">
            <v>Related parties</v>
          </cell>
          <cell r="Z381">
            <v>0</v>
          </cell>
          <cell r="AI381">
            <v>0</v>
          </cell>
          <cell r="AR381">
            <v>0</v>
          </cell>
          <cell r="AS381">
            <v>0</v>
          </cell>
          <cell r="AX381" t="str">
            <v>Các bên liên quan</v>
          </cell>
          <cell r="BS381">
            <v>0</v>
          </cell>
          <cell r="CB381">
            <v>0</v>
          </cell>
          <cell r="CO381" t="str">
            <v>Related parties</v>
          </cell>
          <cell r="DJ381">
            <v>0</v>
          </cell>
          <cell r="DS381">
            <v>0</v>
          </cell>
          <cell r="ED381" t="str">
            <v/>
          </cell>
          <cell r="EE381" t="str">
            <v>Các bên liên quan</v>
          </cell>
          <cell r="EZ381">
            <v>0</v>
          </cell>
          <cell r="FI381">
            <v>0</v>
          </cell>
        </row>
        <row r="382">
          <cell r="E382" t="str">
            <v>Other companies</v>
          </cell>
          <cell r="Z382">
            <v>0</v>
          </cell>
          <cell r="AI382">
            <v>0</v>
          </cell>
          <cell r="AR382">
            <v>0</v>
          </cell>
          <cell r="AS382">
            <v>0</v>
          </cell>
          <cell r="AX382" t="str">
            <v>Các công ty khác</v>
          </cell>
          <cell r="BS382">
            <v>0</v>
          </cell>
          <cell r="CB382">
            <v>0</v>
          </cell>
          <cell r="CO382" t="str">
            <v>Other companies</v>
          </cell>
          <cell r="DJ382">
            <v>0</v>
          </cell>
          <cell r="DS382">
            <v>0</v>
          </cell>
          <cell r="ED382" t="str">
            <v/>
          </cell>
          <cell r="EE382" t="str">
            <v>Các công ty khác</v>
          </cell>
          <cell r="EZ382">
            <v>0</v>
          </cell>
          <cell r="FI382">
            <v>0</v>
          </cell>
        </row>
        <row r="383">
          <cell r="E383" t="str">
            <v>Others</v>
          </cell>
          <cell r="Z383">
            <v>0</v>
          </cell>
          <cell r="AI383">
            <v>0</v>
          </cell>
          <cell r="AR383">
            <v>0</v>
          </cell>
          <cell r="AS383">
            <v>0</v>
          </cell>
          <cell r="AX383" t="str">
            <v>Các khoản khác</v>
          </cell>
          <cell r="BS383">
            <v>0</v>
          </cell>
          <cell r="CB383">
            <v>0</v>
          </cell>
          <cell r="CO383" t="str">
            <v>Others</v>
          </cell>
          <cell r="DJ383">
            <v>0</v>
          </cell>
          <cell r="DS383">
            <v>0</v>
          </cell>
          <cell r="ED383" t="str">
            <v/>
          </cell>
          <cell r="EE383" t="str">
            <v>Các khoản khác</v>
          </cell>
          <cell r="EZ383">
            <v>0</v>
          </cell>
          <cell r="FI383">
            <v>0</v>
          </cell>
        </row>
        <row r="384">
          <cell r="E384" t="str">
            <v>Total</v>
          </cell>
          <cell r="Z384">
            <v>0</v>
          </cell>
          <cell r="AI384">
            <v>0</v>
          </cell>
          <cell r="AX384" t="str">
            <v>Tổng cộng</v>
          </cell>
          <cell r="BS384">
            <v>0</v>
          </cell>
          <cell r="CB384">
            <v>0</v>
          </cell>
          <cell r="CO384" t="str">
            <v>Total</v>
          </cell>
          <cell r="DJ384">
            <v>0</v>
          </cell>
          <cell r="DS384">
            <v>0</v>
          </cell>
          <cell r="ED384" t="str">
            <v/>
          </cell>
          <cell r="EE384" t="str">
            <v>Tổng cộng</v>
          </cell>
          <cell r="EZ384">
            <v>0</v>
          </cell>
          <cell r="FI384">
            <v>0</v>
          </cell>
        </row>
        <row r="385">
          <cell r="E385" t="str">
            <v>Checking point</v>
          </cell>
          <cell r="Z385">
            <v>0</v>
          </cell>
          <cell r="AI385">
            <v>0</v>
          </cell>
          <cell r="AX385" t="str">
            <v>Checking point</v>
          </cell>
          <cell r="BS385">
            <v>0</v>
          </cell>
          <cell r="CB385">
            <v>0</v>
          </cell>
          <cell r="CO385" t="str">
            <v>Checking point</v>
          </cell>
          <cell r="DJ385">
            <v>0</v>
          </cell>
          <cell r="DS385">
            <v>0</v>
          </cell>
          <cell r="EE385" t="str">
            <v>Checking point</v>
          </cell>
          <cell r="EZ385">
            <v>0</v>
          </cell>
          <cell r="FI385">
            <v>0</v>
          </cell>
        </row>
        <row r="387">
          <cell r="D387" t="str">
            <v>.</v>
          </cell>
          <cell r="E387" t="str">
            <v>LONG-TERM ADVANCES TO SUPPLIERS</v>
          </cell>
          <cell r="AW387" t="str">
            <v>.</v>
          </cell>
          <cell r="AX387" t="str">
            <v>TRẢ TRƯỚC CHO NGƯỜI BÁN DÀI HẠN</v>
          </cell>
          <cell r="CN387" t="str">
            <v>.</v>
          </cell>
          <cell r="CO387" t="str">
            <v>LONG-TERM ADVANCES TO SUPPLIERS</v>
          </cell>
          <cell r="ED387" t="str">
            <v>.</v>
          </cell>
          <cell r="EE387" t="str">
            <v>TRẢ TRƯỚC CHO NGƯỜI BÁN DÀI HẠN</v>
          </cell>
        </row>
        <row r="389">
          <cell r="E389" t="str">
            <v>Chi tiết các KH chiếm từ 10% tổng giá trị phải thu</v>
          </cell>
          <cell r="AX389" t="str">
            <v>Chi tiết các KH chiếm từ 10% tổng giá trị phải thu</v>
          </cell>
        </row>
        <row r="390">
          <cell r="Z390" t="str">
            <v>Ending bal'</v>
          </cell>
          <cell r="AI390" t="str">
            <v>Beginning bal'</v>
          </cell>
          <cell r="BS390" t="str">
            <v>Số cuối năm</v>
          </cell>
          <cell r="CB390" t="str">
            <v>Số đầu năm</v>
          </cell>
          <cell r="DJ390" t="str">
            <v>Ending bal'</v>
          </cell>
          <cell r="DS390" t="str">
            <v>Beginning bal'</v>
          </cell>
          <cell r="EZ390" t="str">
            <v>Số cuối năm</v>
          </cell>
          <cell r="FI390" t="str">
            <v>Số đầu năm</v>
          </cell>
        </row>
        <row r="392">
          <cell r="E392" t="str">
            <v>Company A</v>
          </cell>
          <cell r="Z392">
            <v>0</v>
          </cell>
          <cell r="AI392">
            <v>0</v>
          </cell>
          <cell r="AR392">
            <v>0</v>
          </cell>
          <cell r="AS392">
            <v>0</v>
          </cell>
          <cell r="AX392" t="str">
            <v>Công ty A</v>
          </cell>
          <cell r="BS392">
            <v>0</v>
          </cell>
          <cell r="CB392">
            <v>0</v>
          </cell>
          <cell r="CO392" t="str">
            <v>Company A</v>
          </cell>
          <cell r="DJ392">
            <v>0</v>
          </cell>
          <cell r="DS392">
            <v>0</v>
          </cell>
          <cell r="ED392" t="str">
            <v/>
          </cell>
          <cell r="EE392" t="str">
            <v>Công ty A</v>
          </cell>
          <cell r="EZ392">
            <v>0</v>
          </cell>
          <cell r="FI392">
            <v>0</v>
          </cell>
        </row>
        <row r="393">
          <cell r="E393" t="str">
            <v>Company B</v>
          </cell>
          <cell r="Z393">
            <v>0</v>
          </cell>
          <cell r="AI393">
            <v>0</v>
          </cell>
          <cell r="AR393">
            <v>0</v>
          </cell>
          <cell r="AS393">
            <v>0</v>
          </cell>
          <cell r="AX393" t="str">
            <v>Công ty B</v>
          </cell>
          <cell r="BS393">
            <v>0</v>
          </cell>
          <cell r="CB393">
            <v>0</v>
          </cell>
          <cell r="CO393" t="str">
            <v>Company B</v>
          </cell>
          <cell r="DJ393">
            <v>0</v>
          </cell>
          <cell r="DS393">
            <v>0</v>
          </cell>
          <cell r="ED393" t="str">
            <v/>
          </cell>
          <cell r="EE393" t="str">
            <v>Công ty B</v>
          </cell>
          <cell r="EZ393">
            <v>0</v>
          </cell>
          <cell r="FI393">
            <v>0</v>
          </cell>
        </row>
        <row r="394">
          <cell r="E394" t="str">
            <v>Company C</v>
          </cell>
          <cell r="Z394">
            <v>0</v>
          </cell>
          <cell r="AI394">
            <v>0</v>
          </cell>
          <cell r="AR394">
            <v>0</v>
          </cell>
          <cell r="AS394">
            <v>0</v>
          </cell>
          <cell r="AX394" t="str">
            <v>Công ty C</v>
          </cell>
          <cell r="BS394">
            <v>0</v>
          </cell>
          <cell r="CB394">
            <v>0</v>
          </cell>
          <cell r="CO394" t="str">
            <v>Company C</v>
          </cell>
          <cell r="DJ394">
            <v>0</v>
          </cell>
          <cell r="DS394">
            <v>0</v>
          </cell>
          <cell r="ED394" t="str">
            <v/>
          </cell>
          <cell r="EE394" t="str">
            <v>Công ty C</v>
          </cell>
          <cell r="EZ394">
            <v>0</v>
          </cell>
          <cell r="FI394">
            <v>0</v>
          </cell>
        </row>
        <row r="395">
          <cell r="E395" t="str">
            <v>Total</v>
          </cell>
          <cell r="Z395">
            <v>0</v>
          </cell>
          <cell r="AI395">
            <v>0</v>
          </cell>
          <cell r="AX395" t="str">
            <v>Tổng cộng</v>
          </cell>
          <cell r="BS395">
            <v>0</v>
          </cell>
          <cell r="CB395">
            <v>0</v>
          </cell>
          <cell r="CO395" t="str">
            <v>Total</v>
          </cell>
          <cell r="DJ395">
            <v>0</v>
          </cell>
          <cell r="DS395">
            <v>0</v>
          </cell>
          <cell r="ED395" t="str">
            <v/>
          </cell>
          <cell r="EE395" t="str">
            <v>Tổng cộng</v>
          </cell>
          <cell r="EZ395">
            <v>0</v>
          </cell>
          <cell r="FI395">
            <v>0</v>
          </cell>
        </row>
        <row r="396">
          <cell r="E396" t="str">
            <v>Checking point</v>
          </cell>
          <cell r="Z396">
            <v>0</v>
          </cell>
          <cell r="AI396">
            <v>0</v>
          </cell>
          <cell r="AX396" t="str">
            <v>Checking point</v>
          </cell>
          <cell r="BS396">
            <v>0</v>
          </cell>
          <cell r="CB396">
            <v>0</v>
          </cell>
          <cell r="CO396" t="str">
            <v>Checking point</v>
          </cell>
          <cell r="DJ396">
            <v>0</v>
          </cell>
          <cell r="DS396">
            <v>0</v>
          </cell>
          <cell r="ED396" t="str">
            <v/>
          </cell>
          <cell r="EE396" t="str">
            <v>Checking point</v>
          </cell>
          <cell r="EZ396">
            <v>0</v>
          </cell>
          <cell r="FI396">
            <v>0</v>
          </cell>
        </row>
        <row r="398">
          <cell r="D398" t="str">
            <v>.</v>
          </cell>
          <cell r="E398" t="str">
            <v>WORKING CAPITAL PROVIDED TO SUBORDINATE
 UNITS</v>
          </cell>
          <cell r="AW398" t="str">
            <v>.</v>
          </cell>
          <cell r="AX398" t="str">
            <v>VỐN KINH DOANH Ở ĐƠN VỊ 
 TRỰC THUỘC</v>
          </cell>
          <cell r="CN398" t="str">
            <v>.</v>
          </cell>
          <cell r="CO398" t="str">
            <v>WORKING CAPITAL PROVIDED TO SUBORDINATE
 UNITS</v>
          </cell>
          <cell r="ED398" t="str">
            <v>.</v>
          </cell>
          <cell r="EE398" t="str">
            <v>VỐN KINH DOANH Ở ĐƠN VỊ 
 TRỰC THUỘC</v>
          </cell>
        </row>
        <row r="400">
          <cell r="E400" t="str">
            <v>Chi tiết các KH chiếm từ 10% tổng giá trị phải thu</v>
          </cell>
          <cell r="AX400" t="str">
            <v>Chi tiết các KH chiếm từ 10% tổng giá trị phải thu</v>
          </cell>
        </row>
        <row r="401">
          <cell r="Z401" t="str">
            <v>Ending bal'</v>
          </cell>
          <cell r="AI401" t="str">
            <v>Beginning bal'</v>
          </cell>
          <cell r="BS401" t="str">
            <v>Số cuối năm</v>
          </cell>
          <cell r="CB401" t="str">
            <v>Số đầu năm</v>
          </cell>
          <cell r="DJ401" t="str">
            <v>Ending bal'</v>
          </cell>
          <cell r="DS401" t="str">
            <v>Beginning bal'</v>
          </cell>
          <cell r="EZ401" t="str">
            <v>Số cuối năm</v>
          </cell>
          <cell r="FI401" t="str">
            <v>Số đầu năm</v>
          </cell>
        </row>
        <row r="403">
          <cell r="E403" t="str">
            <v>Branch A</v>
          </cell>
          <cell r="Z403">
            <v>0</v>
          </cell>
          <cell r="AI403">
            <v>0</v>
          </cell>
          <cell r="AX403" t="str">
            <v>Chi nhánh A</v>
          </cell>
          <cell r="BS403">
            <v>0</v>
          </cell>
          <cell r="CB403">
            <v>0</v>
          </cell>
          <cell r="CO403" t="str">
            <v>Branch A</v>
          </cell>
          <cell r="DJ403">
            <v>0</v>
          </cell>
          <cell r="DS403">
            <v>0</v>
          </cell>
          <cell r="ED403" t="str">
            <v/>
          </cell>
          <cell r="EE403" t="str">
            <v>Chi nhánh A</v>
          </cell>
          <cell r="EZ403">
            <v>0</v>
          </cell>
          <cell r="FI403">
            <v>0</v>
          </cell>
        </row>
        <row r="404">
          <cell r="E404" t="str">
            <v>Branch B</v>
          </cell>
          <cell r="Z404">
            <v>0</v>
          </cell>
          <cell r="AI404">
            <v>0</v>
          </cell>
          <cell r="AX404" t="str">
            <v>Chi nhánh B</v>
          </cell>
          <cell r="BS404">
            <v>0</v>
          </cell>
          <cell r="CB404">
            <v>0</v>
          </cell>
          <cell r="CO404" t="str">
            <v>Branch B</v>
          </cell>
          <cell r="DJ404">
            <v>0</v>
          </cell>
          <cell r="DS404">
            <v>0</v>
          </cell>
          <cell r="ED404" t="str">
            <v/>
          </cell>
          <cell r="EE404" t="str">
            <v>Chi nhánh B</v>
          </cell>
          <cell r="EZ404">
            <v>0</v>
          </cell>
          <cell r="FI404">
            <v>0</v>
          </cell>
        </row>
        <row r="405">
          <cell r="E405" t="str">
            <v>Total</v>
          </cell>
          <cell r="Z405">
            <v>0</v>
          </cell>
          <cell r="AI405">
            <v>0</v>
          </cell>
          <cell r="AX405" t="str">
            <v>Tổng cộng</v>
          </cell>
          <cell r="BS405">
            <v>0</v>
          </cell>
          <cell r="CB405">
            <v>0</v>
          </cell>
          <cell r="CO405" t="str">
            <v>Total</v>
          </cell>
          <cell r="DJ405">
            <v>0</v>
          </cell>
          <cell r="DS405">
            <v>0</v>
          </cell>
          <cell r="ED405" t="str">
            <v/>
          </cell>
          <cell r="EE405" t="str">
            <v>Tổng cộng</v>
          </cell>
          <cell r="EZ405">
            <v>0</v>
          </cell>
          <cell r="FI405">
            <v>0</v>
          </cell>
        </row>
        <row r="406">
          <cell r="E406" t="str">
            <v>Checking point</v>
          </cell>
          <cell r="Z406">
            <v>0</v>
          </cell>
          <cell r="AI406">
            <v>0</v>
          </cell>
          <cell r="AX406" t="str">
            <v>Checking point</v>
          </cell>
          <cell r="BS406">
            <v>0</v>
          </cell>
          <cell r="CB406">
            <v>0</v>
          </cell>
          <cell r="CO406" t="str">
            <v>Checking point</v>
          </cell>
          <cell r="DJ406">
            <v>0</v>
          </cell>
          <cell r="DS406">
            <v>0</v>
          </cell>
          <cell r="EE406" t="str">
            <v>Checking point</v>
          </cell>
          <cell r="EZ406">
            <v>0</v>
          </cell>
          <cell r="FI406">
            <v>0</v>
          </cell>
        </row>
        <row r="408">
          <cell r="E408" t="str">
            <v>[Name of Branch] is established in Vietnam under the Law on Enterprise of Vietnam pursuant to the Certificate of Branch Registration No. xxx dated  dd mmm yyyy, issued by xxx.</v>
          </cell>
          <cell r="AX408" t="str">
            <v>[Tên Chi nhánh] được thành lập tại Việt Nam theo Luật Doanh nghiệp Việt Nam theo Giấy Chứng nhận Đăng ký hoạt động chi nhánh số xxx ngày dd tháng mm năm yyyy, được cấp bởi xxx.</v>
          </cell>
        </row>
        <row r="412">
          <cell r="D412" t="str">
            <v>.</v>
          </cell>
          <cell r="E412" t="str">
            <v>LONG-TERM INTER-COMPANY RECEIVABLES</v>
          </cell>
          <cell r="AW412" t="str">
            <v>.</v>
          </cell>
          <cell r="AX412" t="str">
            <v>PHẢI THU NỘI BỘ DÀI HẠN</v>
          </cell>
          <cell r="CN412" t="str">
            <v>.</v>
          </cell>
          <cell r="CO412" t="str">
            <v>LONG-TERM INTER-COMPANY RECEIVABLES</v>
          </cell>
          <cell r="ED412" t="str">
            <v>.</v>
          </cell>
          <cell r="EE412" t="str">
            <v>PHẢI THU NỘI BỘ DÀI HẠN</v>
          </cell>
        </row>
        <row r="414">
          <cell r="E414" t="str">
            <v>Chi tiết các KH chiếm từ 10% tổng giá trị phải thu</v>
          </cell>
          <cell r="AX414" t="str">
            <v>Chi tiết các KH chiếm từ 10% tổng giá trị phải thu</v>
          </cell>
        </row>
        <row r="415">
          <cell r="Z415" t="str">
            <v>Ending bal'</v>
          </cell>
          <cell r="AI415" t="str">
            <v>Beginning bal'</v>
          </cell>
          <cell r="BS415" t="str">
            <v>Số cuối năm</v>
          </cell>
          <cell r="CB415" t="str">
            <v>Số đầu năm</v>
          </cell>
          <cell r="DJ415" t="str">
            <v>Ending bal'</v>
          </cell>
          <cell r="DS415" t="str">
            <v>Beginning bal'</v>
          </cell>
          <cell r="EZ415" t="str">
            <v>Số cuối năm</v>
          </cell>
          <cell r="FI415" t="str">
            <v>Số đầu năm</v>
          </cell>
        </row>
        <row r="417">
          <cell r="E417" t="str">
            <v>Long-term receivables from Branch</v>
          </cell>
          <cell r="Z417">
            <v>0</v>
          </cell>
          <cell r="AI417">
            <v>0</v>
          </cell>
          <cell r="AR417">
            <v>0</v>
          </cell>
          <cell r="AS417">
            <v>0</v>
          </cell>
          <cell r="AX417" t="str">
            <v>Phải thu dài hạn từ Chi nhánh</v>
          </cell>
          <cell r="BS417">
            <v>0</v>
          </cell>
          <cell r="CB417">
            <v>0</v>
          </cell>
          <cell r="CO417" t="str">
            <v>Long-term receivables from Branch</v>
          </cell>
          <cell r="DJ417">
            <v>0</v>
          </cell>
          <cell r="DS417">
            <v>0</v>
          </cell>
          <cell r="ED417" t="str">
            <v/>
          </cell>
          <cell r="EE417" t="str">
            <v>Phải thu dài hạn từ Chi nhánh</v>
          </cell>
          <cell r="EZ417">
            <v>0</v>
          </cell>
          <cell r="FI417">
            <v>0</v>
          </cell>
        </row>
        <row r="418">
          <cell r="E418" t="str">
            <v>Long-term receivables from Head office</v>
          </cell>
          <cell r="Z418">
            <v>0</v>
          </cell>
          <cell r="AI418">
            <v>0</v>
          </cell>
          <cell r="AR418">
            <v>0</v>
          </cell>
          <cell r="AS418">
            <v>0</v>
          </cell>
          <cell r="AX418" t="str">
            <v>Phải thu dài hạn từ Trụ sở chính</v>
          </cell>
          <cell r="BS418">
            <v>0</v>
          </cell>
          <cell r="CB418">
            <v>0</v>
          </cell>
          <cell r="CO418" t="str">
            <v>Long-term receivables from Head office</v>
          </cell>
          <cell r="DJ418">
            <v>0</v>
          </cell>
          <cell r="DS418">
            <v>0</v>
          </cell>
          <cell r="ED418" t="str">
            <v/>
          </cell>
          <cell r="EE418" t="str">
            <v>Phải thu dài hạn từ Trụ sở chính</v>
          </cell>
          <cell r="EZ418">
            <v>0</v>
          </cell>
          <cell r="FI418">
            <v>0</v>
          </cell>
        </row>
        <row r="419">
          <cell r="E419" t="str">
            <v>Others</v>
          </cell>
          <cell r="Z419">
            <v>0</v>
          </cell>
          <cell r="AI419">
            <v>0</v>
          </cell>
          <cell r="AR419">
            <v>0</v>
          </cell>
          <cell r="AS419">
            <v>0</v>
          </cell>
          <cell r="AX419" t="str">
            <v>Khác</v>
          </cell>
          <cell r="BS419">
            <v>0</v>
          </cell>
          <cell r="CB419">
            <v>0</v>
          </cell>
          <cell r="CO419" t="str">
            <v>Others</v>
          </cell>
          <cell r="DJ419">
            <v>0</v>
          </cell>
          <cell r="DS419">
            <v>0</v>
          </cell>
          <cell r="ED419" t="str">
            <v/>
          </cell>
          <cell r="EE419" t="str">
            <v>Khác</v>
          </cell>
          <cell r="EZ419">
            <v>0</v>
          </cell>
          <cell r="FI419">
            <v>0</v>
          </cell>
        </row>
        <row r="420">
          <cell r="E420" t="str">
            <v>Total</v>
          </cell>
          <cell r="Z420">
            <v>0</v>
          </cell>
          <cell r="AI420">
            <v>0</v>
          </cell>
          <cell r="AX420" t="str">
            <v>Tổng cộng</v>
          </cell>
          <cell r="BS420">
            <v>0</v>
          </cell>
          <cell r="CB420">
            <v>0</v>
          </cell>
          <cell r="CO420" t="str">
            <v>Total</v>
          </cell>
          <cell r="DJ420">
            <v>0</v>
          </cell>
          <cell r="DS420">
            <v>0</v>
          </cell>
          <cell r="ED420" t="str">
            <v/>
          </cell>
          <cell r="EE420" t="str">
            <v>Tổng cộng</v>
          </cell>
          <cell r="EZ420">
            <v>0</v>
          </cell>
          <cell r="FI420">
            <v>0</v>
          </cell>
        </row>
        <row r="421">
          <cell r="E421" t="str">
            <v>Checking point</v>
          </cell>
          <cell r="Z421">
            <v>0</v>
          </cell>
          <cell r="AI421">
            <v>0</v>
          </cell>
          <cell r="AX421" t="str">
            <v>Checking point</v>
          </cell>
          <cell r="BS421">
            <v>0</v>
          </cell>
          <cell r="CB421">
            <v>0</v>
          </cell>
          <cell r="CO421" t="str">
            <v>Checking point</v>
          </cell>
          <cell r="DJ421">
            <v>0</v>
          </cell>
          <cell r="DS421">
            <v>0</v>
          </cell>
          <cell r="EE421" t="str">
            <v>Checking point</v>
          </cell>
          <cell r="EZ421">
            <v>0</v>
          </cell>
          <cell r="FI421">
            <v>0</v>
          </cell>
        </row>
        <row r="423">
          <cell r="D423" t="str">
            <v>.</v>
          </cell>
          <cell r="E423" t="str">
            <v>OTHER LONG-TERM RECEIVABLES</v>
          </cell>
          <cell r="AW423" t="str">
            <v>.</v>
          </cell>
          <cell r="AX423" t="str">
            <v>PHẢI THU DÀI HẠN KHÁC</v>
          </cell>
          <cell r="CN423" t="str">
            <v>.</v>
          </cell>
          <cell r="CO423" t="str">
            <v>OTHER LONG-TERM RECEIVABLES</v>
          </cell>
          <cell r="ED423" t="str">
            <v>.</v>
          </cell>
          <cell r="EE423" t="str">
            <v>PHẢI THU DÀI HẠN KHÁC</v>
          </cell>
        </row>
        <row r="425">
          <cell r="Z425" t="str">
            <v>Ending bal'</v>
          </cell>
          <cell r="AI425" t="str">
            <v>Beginning bal'</v>
          </cell>
          <cell r="BS425" t="str">
            <v>Số cuối năm</v>
          </cell>
          <cell r="CB425" t="str">
            <v>Số đầu năm</v>
          </cell>
          <cell r="DJ425" t="str">
            <v>Ending bal'</v>
          </cell>
          <cell r="DS425" t="str">
            <v>Beginning bal'</v>
          </cell>
          <cell r="EZ425" t="str">
            <v>Số cuối năm</v>
          </cell>
          <cell r="FI425" t="str">
            <v>Số đầu năm</v>
          </cell>
        </row>
        <row r="427">
          <cell r="E427" t="str">
            <v>Long-term deposit</v>
          </cell>
          <cell r="Z427">
            <v>0</v>
          </cell>
          <cell r="AI427">
            <v>0</v>
          </cell>
          <cell r="AR427">
            <v>0</v>
          </cell>
          <cell r="AS427">
            <v>0</v>
          </cell>
          <cell r="AX427" t="str">
            <v>Ký quỹ, ký cược dài hạn</v>
          </cell>
          <cell r="BS427">
            <v>0</v>
          </cell>
          <cell r="CB427">
            <v>0</v>
          </cell>
          <cell r="CO427" t="str">
            <v>Long-term deposit</v>
          </cell>
          <cell r="DJ427">
            <v>0</v>
          </cell>
          <cell r="DS427">
            <v>0</v>
          </cell>
          <cell r="ED427" t="str">
            <v/>
          </cell>
          <cell r="EE427" t="str">
            <v>Ký quỹ, ký cược dài hạn</v>
          </cell>
          <cell r="EZ427">
            <v>0</v>
          </cell>
          <cell r="FI427">
            <v>0</v>
          </cell>
        </row>
        <row r="428">
          <cell r="E428" t="str">
            <v>Borrowing without interest</v>
          </cell>
          <cell r="Z428">
            <v>0</v>
          </cell>
          <cell r="AI428">
            <v>0</v>
          </cell>
          <cell r="AR428">
            <v>0</v>
          </cell>
          <cell r="AS428">
            <v>0</v>
          </cell>
          <cell r="AX428" t="str">
            <v>Cho vay không có lãi</v>
          </cell>
          <cell r="BS428">
            <v>0</v>
          </cell>
          <cell r="CB428">
            <v>0</v>
          </cell>
          <cell r="CO428" t="str">
            <v>Borrowing without interest</v>
          </cell>
          <cell r="DJ428">
            <v>0</v>
          </cell>
          <cell r="DS428">
            <v>0</v>
          </cell>
          <cell r="ED428" t="str">
            <v/>
          </cell>
          <cell r="EE428" t="str">
            <v>Cho vay không có lãi</v>
          </cell>
          <cell r="EZ428">
            <v>0</v>
          </cell>
          <cell r="FI428">
            <v>0</v>
          </cell>
        </row>
        <row r="429">
          <cell r="E429" t="str">
            <v>Deposit for apartment rental service</v>
          </cell>
          <cell r="Z429">
            <v>0</v>
          </cell>
          <cell r="AI429">
            <v>0</v>
          </cell>
          <cell r="AR429">
            <v>0</v>
          </cell>
          <cell r="AS429">
            <v>0</v>
          </cell>
          <cell r="AX429" t="str">
            <v>Đặt cọc cho dịch vụ thuê căn hộ</v>
          </cell>
          <cell r="BS429">
            <v>0</v>
          </cell>
          <cell r="CB429">
            <v>0</v>
          </cell>
          <cell r="CO429" t="str">
            <v>Deposit for apartment rental service</v>
          </cell>
          <cell r="DJ429">
            <v>0</v>
          </cell>
          <cell r="DS429">
            <v>0</v>
          </cell>
          <cell r="ED429" t="str">
            <v/>
          </cell>
          <cell r="EE429" t="str">
            <v>Đặt cọc cho dịch vụ thuê căn hộ</v>
          </cell>
          <cell r="EZ429">
            <v>0</v>
          </cell>
          <cell r="FI429">
            <v>0</v>
          </cell>
        </row>
        <row r="430">
          <cell r="E430" t="str">
            <v>Deposit for real estate management service</v>
          </cell>
          <cell r="Z430">
            <v>0</v>
          </cell>
          <cell r="AI430">
            <v>0</v>
          </cell>
          <cell r="AX430" t="str">
            <v>Đặt cọc cho dịch vụ quản lý bất động sản</v>
          </cell>
          <cell r="BS430">
            <v>0</v>
          </cell>
          <cell r="CB430">
            <v>0</v>
          </cell>
          <cell r="CO430" t="str">
            <v>Deposit for real estate management service</v>
          </cell>
          <cell r="DJ430">
            <v>0</v>
          </cell>
          <cell r="DS430">
            <v>0</v>
          </cell>
          <cell r="ED430" t="str">
            <v/>
          </cell>
          <cell r="EE430" t="str">
            <v>Đặt cọc cho dịch vụ quản lý bất động sản</v>
          </cell>
          <cell r="EZ430">
            <v>0</v>
          </cell>
          <cell r="FI430">
            <v>0</v>
          </cell>
        </row>
        <row r="431">
          <cell r="E431" t="str">
            <v>Deposit for other services</v>
          </cell>
          <cell r="Z431">
            <v>0</v>
          </cell>
          <cell r="AI431">
            <v>0</v>
          </cell>
          <cell r="AR431">
            <v>0</v>
          </cell>
          <cell r="AS431">
            <v>0</v>
          </cell>
          <cell r="AX431" t="str">
            <v>Đặt cọc cho các dịch vụ khác</v>
          </cell>
          <cell r="BS431">
            <v>0</v>
          </cell>
          <cell r="CB431">
            <v>0</v>
          </cell>
          <cell r="CO431" t="str">
            <v>Deposit for other services</v>
          </cell>
          <cell r="DJ431">
            <v>0</v>
          </cell>
          <cell r="DS431">
            <v>0</v>
          </cell>
          <cell r="ED431" t="str">
            <v/>
          </cell>
          <cell r="EE431" t="str">
            <v>Đặt cọc cho các dịch vụ khác</v>
          </cell>
          <cell r="EZ431">
            <v>0</v>
          </cell>
          <cell r="FI431">
            <v>0</v>
          </cell>
        </row>
        <row r="432">
          <cell r="E432" t="str">
            <v>Others</v>
          </cell>
          <cell r="Z432">
            <v>0</v>
          </cell>
          <cell r="AI432">
            <v>0</v>
          </cell>
          <cell r="AR432">
            <v>0</v>
          </cell>
          <cell r="AS432">
            <v>0</v>
          </cell>
          <cell r="AX432" t="str">
            <v>Khác</v>
          </cell>
          <cell r="BS432">
            <v>0</v>
          </cell>
          <cell r="CB432">
            <v>0</v>
          </cell>
          <cell r="CO432" t="str">
            <v>Others</v>
          </cell>
          <cell r="DJ432">
            <v>0</v>
          </cell>
          <cell r="DS432">
            <v>0</v>
          </cell>
          <cell r="ED432" t="str">
            <v/>
          </cell>
          <cell r="EE432" t="str">
            <v>Khác</v>
          </cell>
          <cell r="EZ432">
            <v>0</v>
          </cell>
          <cell r="FI432">
            <v>0</v>
          </cell>
        </row>
        <row r="433">
          <cell r="E433" t="str">
            <v>Total</v>
          </cell>
          <cell r="Z433">
            <v>0</v>
          </cell>
          <cell r="AI433">
            <v>0</v>
          </cell>
          <cell r="AX433" t="str">
            <v>Tổng cộng</v>
          </cell>
          <cell r="BS433">
            <v>0</v>
          </cell>
          <cell r="CB433">
            <v>0</v>
          </cell>
          <cell r="CO433" t="str">
            <v>Total</v>
          </cell>
          <cell r="DJ433">
            <v>0</v>
          </cell>
          <cell r="DS433">
            <v>0</v>
          </cell>
          <cell r="ED433" t="str">
            <v/>
          </cell>
          <cell r="EE433" t="str">
            <v>Tổng cộng</v>
          </cell>
          <cell r="EZ433">
            <v>0</v>
          </cell>
          <cell r="FI433">
            <v>0</v>
          </cell>
        </row>
        <row r="434">
          <cell r="E434" t="str">
            <v>Checking point</v>
          </cell>
          <cell r="Z434">
            <v>0</v>
          </cell>
          <cell r="AI434">
            <v>0</v>
          </cell>
          <cell r="AX434" t="str">
            <v>Checking point</v>
          </cell>
          <cell r="BS434">
            <v>0</v>
          </cell>
          <cell r="CB434">
            <v>0</v>
          </cell>
          <cell r="CO434" t="str">
            <v>Checking point</v>
          </cell>
          <cell r="DJ434">
            <v>0</v>
          </cell>
          <cell r="DS434">
            <v>0</v>
          </cell>
          <cell r="EE434" t="str">
            <v>Checking point</v>
          </cell>
          <cell r="EZ434">
            <v>0</v>
          </cell>
          <cell r="FI434">
            <v>0</v>
          </cell>
        </row>
        <row r="436">
          <cell r="D436" t="str">
            <v>.</v>
          </cell>
          <cell r="E436" t="str">
            <v>PROVISION FOR LONG-TERM DOUBTFUL DEBTS</v>
          </cell>
          <cell r="AW436" t="str">
            <v>.</v>
          </cell>
          <cell r="AX436" t="str">
            <v>DỰ PHÒNG PHẢI THU DÀI HẠN KHÓ ĐÒI</v>
          </cell>
          <cell r="CN436" t="str">
            <v>.</v>
          </cell>
          <cell r="CO436" t="str">
            <v>PROVISION FOR LONG-TERM DOUBTFUL DEBTS</v>
          </cell>
          <cell r="ED436" t="str">
            <v>.</v>
          </cell>
          <cell r="EE436" t="str">
            <v>DỰ PHÒNG PHẢI THU DÀI HẠN KHÓ ĐÒI</v>
          </cell>
        </row>
        <row r="438">
          <cell r="Z438" t="str">
            <v>Ending bal'</v>
          </cell>
          <cell r="AI438" t="str">
            <v>Beginning bal'</v>
          </cell>
          <cell r="BS438" t="str">
            <v>Số cuối năm</v>
          </cell>
          <cell r="CB438" t="str">
            <v>Số đầu năm</v>
          </cell>
          <cell r="DJ438" t="str">
            <v>Ending bal'</v>
          </cell>
          <cell r="DS438" t="str">
            <v>Beginning bal'</v>
          </cell>
          <cell r="EZ438" t="str">
            <v>Số cuối năm</v>
          </cell>
          <cell r="FI438" t="str">
            <v>Số đầu năm</v>
          </cell>
        </row>
        <row r="440">
          <cell r="E440" t="str">
            <v>ABC Ltd.</v>
          </cell>
          <cell r="Z440">
            <v>0</v>
          </cell>
          <cell r="AI440">
            <v>0</v>
          </cell>
          <cell r="AR440">
            <v>0</v>
          </cell>
          <cell r="AS440">
            <v>0</v>
          </cell>
          <cell r="AX440" t="str">
            <v>Công ty TNHH ABC</v>
          </cell>
          <cell r="BS440">
            <v>0</v>
          </cell>
          <cell r="CB440">
            <v>0</v>
          </cell>
          <cell r="CO440" t="str">
            <v>ABC Ltd.</v>
          </cell>
          <cell r="DJ440">
            <v>0</v>
          </cell>
          <cell r="DS440">
            <v>0</v>
          </cell>
          <cell r="EE440" t="str">
            <v>Công ty TNHH ABC</v>
          </cell>
          <cell r="EZ440">
            <v>0</v>
          </cell>
          <cell r="FI440">
            <v>0</v>
          </cell>
        </row>
        <row r="441">
          <cell r="E441" t="str">
            <v>XYZ Corp.</v>
          </cell>
          <cell r="Z441">
            <v>0</v>
          </cell>
          <cell r="AI441">
            <v>0</v>
          </cell>
          <cell r="AR441">
            <v>0</v>
          </cell>
          <cell r="AS441">
            <v>0</v>
          </cell>
          <cell r="AX441" t="str">
            <v>Công ty cổ phần XYZ</v>
          </cell>
          <cell r="BS441">
            <v>0</v>
          </cell>
          <cell r="CB441">
            <v>0</v>
          </cell>
          <cell r="CO441" t="str">
            <v>XYZ Corp.</v>
          </cell>
          <cell r="DJ441">
            <v>0</v>
          </cell>
          <cell r="DS441">
            <v>0</v>
          </cell>
          <cell r="EE441" t="str">
            <v>Công ty cổ phần XYZ</v>
          </cell>
          <cell r="EZ441">
            <v>0</v>
          </cell>
          <cell r="FI441">
            <v>0</v>
          </cell>
        </row>
        <row r="442">
          <cell r="E442" t="str">
            <v>Total</v>
          </cell>
          <cell r="Z442">
            <v>0</v>
          </cell>
          <cell r="AI442">
            <v>0</v>
          </cell>
          <cell r="AX442" t="str">
            <v>Tổng cộng</v>
          </cell>
          <cell r="BS442">
            <v>0</v>
          </cell>
          <cell r="CB442">
            <v>0</v>
          </cell>
          <cell r="CO442" t="str">
            <v>Total</v>
          </cell>
          <cell r="DJ442">
            <v>0</v>
          </cell>
          <cell r="DS442">
            <v>0</v>
          </cell>
          <cell r="EE442" t="str">
            <v>Tổng cộng</v>
          </cell>
          <cell r="EZ442">
            <v>0</v>
          </cell>
          <cell r="FI442">
            <v>0</v>
          </cell>
        </row>
        <row r="443">
          <cell r="E443" t="str">
            <v>Checking point</v>
          </cell>
          <cell r="Z443">
            <v>0</v>
          </cell>
          <cell r="AI443">
            <v>0</v>
          </cell>
          <cell r="AX443" t="str">
            <v>Checking point</v>
          </cell>
          <cell r="BS443">
            <v>0</v>
          </cell>
          <cell r="CB443">
            <v>0</v>
          </cell>
          <cell r="CO443" t="str">
            <v>Checking point</v>
          </cell>
          <cell r="DJ443">
            <v>0</v>
          </cell>
          <cell r="DS443">
            <v>0</v>
          </cell>
          <cell r="EE443" t="str">
            <v>Checking point</v>
          </cell>
          <cell r="EZ443">
            <v>0</v>
          </cell>
          <cell r="FI443">
            <v>0</v>
          </cell>
        </row>
        <row r="445">
          <cell r="E445" t="str">
            <v>Movements in the provision for long-term doubtful debts during the year were as follows:</v>
          </cell>
          <cell r="AX445" t="str">
            <v>Biến động trong năm của dự phòng khoản phải thu dài hạn khó đòi như sau:</v>
          </cell>
          <cell r="CO445" t="str">
            <v>Movements in the provision for long-term doubtful debts during the year were as follows:</v>
          </cell>
          <cell r="EE445" t="str">
            <v>Biến động trong năm của dự phòng khoản phải thu dài hạn khó đòi như sau:</v>
          </cell>
        </row>
        <row r="447">
          <cell r="Z447" t="str">
            <v>Current year</v>
          </cell>
          <cell r="AI447" t="str">
            <v>Previous year</v>
          </cell>
          <cell r="BS447" t="str">
            <v>Năm nay</v>
          </cell>
          <cell r="CB447" t="str">
            <v>Năm trước</v>
          </cell>
          <cell r="DS447" t="str">
            <v>Current year</v>
          </cell>
          <cell r="FI447" t="str">
            <v>Năm nay</v>
          </cell>
        </row>
        <row r="450">
          <cell r="E450" t="str">
            <v>Beginning balance</v>
          </cell>
          <cell r="Z450">
            <v>0</v>
          </cell>
          <cell r="AI450">
            <v>0</v>
          </cell>
          <cell r="AR450" t="str">
            <v/>
          </cell>
          <cell r="AS450">
            <v>0</v>
          </cell>
          <cell r="AX450" t="str">
            <v>Số đầu năm</v>
          </cell>
          <cell r="BS450">
            <v>0</v>
          </cell>
          <cell r="CB450">
            <v>0</v>
          </cell>
          <cell r="CO450" t="str">
            <v>Beginning balance</v>
          </cell>
          <cell r="DS450">
            <v>0</v>
          </cell>
          <cell r="EE450" t="str">
            <v>Số đầu năm</v>
          </cell>
          <cell r="FI450">
            <v>0</v>
          </cell>
        </row>
        <row r="451">
          <cell r="E451" t="str">
            <v>Provision recorded in the year</v>
          </cell>
          <cell r="Z451">
            <v>0</v>
          </cell>
          <cell r="AI451">
            <v>0</v>
          </cell>
          <cell r="AR451">
            <v>0</v>
          </cell>
          <cell r="AS451">
            <v>0</v>
          </cell>
          <cell r="AX451" t="str">
            <v>Dự phòng trích lập trong năm</v>
          </cell>
          <cell r="BS451">
            <v>0</v>
          </cell>
          <cell r="CB451">
            <v>0</v>
          </cell>
          <cell r="CO451" t="str">
            <v>Provision recorded in the year</v>
          </cell>
          <cell r="DS451">
            <v>0</v>
          </cell>
          <cell r="ED451" t="str">
            <v/>
          </cell>
          <cell r="EE451" t="str">
            <v>Dự phòng trích lập trong năm</v>
          </cell>
          <cell r="FI451">
            <v>0</v>
          </cell>
        </row>
        <row r="452">
          <cell r="E452" t="str">
            <v>Provision utilised/reversed in the year</v>
          </cell>
          <cell r="Z452">
            <v>0</v>
          </cell>
          <cell r="AI452">
            <v>0</v>
          </cell>
          <cell r="AR452">
            <v>0</v>
          </cell>
          <cell r="AS452">
            <v>0</v>
          </cell>
          <cell r="AX452" t="str">
            <v>Dự phòng sử dụng/hoàn nhập trong năm</v>
          </cell>
          <cell r="BS452">
            <v>0</v>
          </cell>
          <cell r="CB452">
            <v>0</v>
          </cell>
          <cell r="CO452" t="str">
            <v>Provision utilised/reversed in the year</v>
          </cell>
          <cell r="DS452">
            <v>0</v>
          </cell>
          <cell r="ED452" t="str">
            <v/>
          </cell>
          <cell r="EE452" t="str">
            <v>Dự phòng sử dụng/hoàn nhập trong năm</v>
          </cell>
          <cell r="FI452">
            <v>0</v>
          </cell>
        </row>
        <row r="453">
          <cell r="E453" t="str">
            <v>Ending balance</v>
          </cell>
          <cell r="Z453">
            <v>0</v>
          </cell>
          <cell r="AI453">
            <v>0</v>
          </cell>
          <cell r="AX453" t="str">
            <v>Số cuối năm</v>
          </cell>
          <cell r="BS453">
            <v>0</v>
          </cell>
          <cell r="CB453">
            <v>0</v>
          </cell>
          <cell r="CO453" t="str">
            <v>FX difference (*)</v>
          </cell>
          <cell r="DS453">
            <v>0</v>
          </cell>
          <cell r="EE453" t="str">
            <v>CLTG (*)</v>
          </cell>
          <cell r="FI453">
            <v>0</v>
          </cell>
        </row>
        <row r="454">
          <cell r="E454" t="str">
            <v>Checking point</v>
          </cell>
          <cell r="Z454">
            <v>0</v>
          </cell>
          <cell r="AI454">
            <v>0</v>
          </cell>
          <cell r="AX454" t="str">
            <v>Checking point</v>
          </cell>
          <cell r="BS454">
            <v>0</v>
          </cell>
          <cell r="CB454">
            <v>0</v>
          </cell>
          <cell r="CO454" t="str">
            <v>Ending balance</v>
          </cell>
          <cell r="DS454">
            <v>0</v>
          </cell>
          <cell r="ED454" t="str">
            <v/>
          </cell>
          <cell r="EE454" t="str">
            <v>Số cuối năm</v>
          </cell>
          <cell r="FI454">
            <v>0</v>
          </cell>
        </row>
        <row r="455">
          <cell r="E455" t="str">
            <v>Checking point</v>
          </cell>
          <cell r="Z455">
            <v>0</v>
          </cell>
          <cell r="AI455">
            <v>0</v>
          </cell>
          <cell r="AX455" t="str">
            <v>Checking point</v>
          </cell>
          <cell r="BS455">
            <v>0</v>
          </cell>
          <cell r="CB455">
            <v>0</v>
          </cell>
          <cell r="CO455" t="str">
            <v>Checking point</v>
          </cell>
          <cell r="DS455">
            <v>0</v>
          </cell>
          <cell r="EE455" t="str">
            <v>Checking point</v>
          </cell>
          <cell r="FI455">
            <v>0</v>
          </cell>
        </row>
        <row r="457">
          <cell r="CO457" t="str">
            <v>FX difference (*): derived from the difference between exchange rates applied to translate.</v>
          </cell>
          <cell r="EE457" t="str">
            <v>CLTG (*): phát sinh do sự khác nhau giữa các tỷ giá áp dụng để chuyển đổi.</v>
          </cell>
        </row>
        <row r="458">
          <cell r="A458" t="str">
            <v>Y</v>
          </cell>
        </row>
        <row r="459">
          <cell r="D459" t="str">
            <v>11.</v>
          </cell>
          <cell r="E459" t="str">
            <v>TANGIBLE FIXED ASSETS</v>
          </cell>
          <cell r="AW459" t="str">
            <v>11.</v>
          </cell>
          <cell r="AX459" t="str">
            <v>TÀI SẢN CỐ ĐỊNH HỮU HÌNH</v>
          </cell>
          <cell r="CN459" t="str">
            <v>11.</v>
          </cell>
          <cell r="CO459" t="str">
            <v>TANGIBLE FIXED ASSETS</v>
          </cell>
          <cell r="ED459" t="str">
            <v>11.</v>
          </cell>
          <cell r="EE459" t="str">
            <v>TÀI SẢN CỐ ĐỊNH HỮU HÌNH</v>
          </cell>
        </row>
        <row r="461">
          <cell r="D461" t="str">
            <v xml:space="preserve">Input figures in sheet "FA", </v>
          </cell>
        </row>
        <row r="462">
          <cell r="D462" t="str">
            <v>Move columns in grey to proper positions</v>
          </cell>
        </row>
        <row r="463">
          <cell r="FP463" t="str">
            <v/>
          </cell>
        </row>
        <row r="464">
          <cell r="M464" t="str">
            <v>Buildings &amp;</v>
          </cell>
          <cell r="S464" t="str">
            <v>Machinery</v>
          </cell>
          <cell r="Y464" t="str">
            <v>Means of</v>
          </cell>
          <cell r="AE464" t="str">
            <v>Office</v>
          </cell>
          <cell r="AJ464" t="str">
            <v>Other</v>
          </cell>
          <cell r="AP464" t="str">
            <v>Total</v>
          </cell>
          <cell r="BF464" t="str">
            <v>Nhà cửa,</v>
          </cell>
          <cell r="BL464" t="str">
            <v>Máy móc</v>
          </cell>
          <cell r="BR464" t="str">
            <v>Phương tiện</v>
          </cell>
          <cell r="BX464" t="str">
            <v>Thiết bị,</v>
          </cell>
          <cell r="CC464" t="str">
            <v>TSCĐ</v>
          </cell>
          <cell r="CI464" t="str">
            <v>Tổng</v>
          </cell>
          <cell r="CW464" t="str">
            <v>Buildings &amp;</v>
          </cell>
          <cell r="DC464" t="str">
            <v>Machinery</v>
          </cell>
          <cell r="DI464" t="str">
            <v>Means of</v>
          </cell>
          <cell r="DO464" t="str">
            <v>Office</v>
          </cell>
          <cell r="DT464" t="str">
            <v>Other</v>
          </cell>
          <cell r="DZ464" t="str">
            <v>Total</v>
          </cell>
          <cell r="EM464" t="str">
            <v>Nhà cửa,</v>
          </cell>
          <cell r="ES464" t="str">
            <v>Máy móc</v>
          </cell>
          <cell r="EY464" t="str">
            <v>Phương tiện</v>
          </cell>
          <cell r="FE464" t="str">
            <v>Thiết bị,</v>
          </cell>
          <cell r="FJ464" t="str">
            <v>TSCĐ</v>
          </cell>
          <cell r="FP464" t="str">
            <v>Tổng</v>
          </cell>
        </row>
        <row r="465">
          <cell r="M465" t="str">
            <v>structures</v>
          </cell>
          <cell r="S465" t="str">
            <v>&amp; equipment</v>
          </cell>
          <cell r="Y465" t="str">
            <v>transportation</v>
          </cell>
          <cell r="AE465" t="str">
            <v>equipment</v>
          </cell>
          <cell r="AJ465" t="str">
            <v xml:space="preserve"> tangible</v>
          </cell>
          <cell r="BF465" t="str">
            <v>vật kiến trúc</v>
          </cell>
          <cell r="BL465" t="str">
            <v>thiết bị</v>
          </cell>
          <cell r="BR465" t="str">
            <v>vận tải,</v>
          </cell>
          <cell r="BX465" t="str">
            <v>dụng cụ</v>
          </cell>
          <cell r="CC465" t="str">
            <v>hữu hình</v>
          </cell>
          <cell r="CW465" t="str">
            <v>structures</v>
          </cell>
          <cell r="DC465" t="str">
            <v>&amp; equipment</v>
          </cell>
          <cell r="DI465" t="str">
            <v>transportation</v>
          </cell>
          <cell r="DO465" t="str">
            <v>equipment</v>
          </cell>
          <cell r="DT465" t="str">
            <v xml:space="preserve"> tangible</v>
          </cell>
          <cell r="EM465" t="str">
            <v>vật kiến trúc</v>
          </cell>
          <cell r="ES465" t="str">
            <v>thiết bị</v>
          </cell>
          <cell r="EY465" t="str">
            <v>vận tải,</v>
          </cell>
          <cell r="FE465" t="str">
            <v>dụng cụ</v>
          </cell>
          <cell r="FJ465" t="str">
            <v>hữu hình</v>
          </cell>
        </row>
        <row r="466">
          <cell r="Y466" t="str">
            <v>&amp; transmission</v>
          </cell>
          <cell r="AJ466" t="str">
            <v>fixed assets</v>
          </cell>
          <cell r="BR466" t="str">
            <v>truyền dẫn</v>
          </cell>
          <cell r="BX466" t="str">
            <v>quản lý</v>
          </cell>
          <cell r="CC466" t="str">
            <v>khác</v>
          </cell>
          <cell r="CW466" t="str">
            <v/>
          </cell>
          <cell r="DC466" t="str">
            <v/>
          </cell>
          <cell r="DI466" t="str">
            <v>&amp; transmission</v>
          </cell>
          <cell r="DO466" t="str">
            <v/>
          </cell>
          <cell r="DT466" t="str">
            <v>fixed assets</v>
          </cell>
          <cell r="EM466" t="str">
            <v/>
          </cell>
          <cell r="ES466" t="str">
            <v/>
          </cell>
          <cell r="EY466" t="str">
            <v>truyền dẫn</v>
          </cell>
          <cell r="FE466" t="str">
            <v>quản lý</v>
          </cell>
          <cell r="FJ466" t="str">
            <v>khác</v>
          </cell>
        </row>
        <row r="468">
          <cell r="D468" t="str">
            <v>Historical cost</v>
          </cell>
          <cell r="AW468" t="str">
            <v>Nguyên giá</v>
          </cell>
          <cell r="CN468" t="str">
            <v>Historical cost</v>
          </cell>
          <cell r="ED468" t="str">
            <v>Nguyên giá</v>
          </cell>
        </row>
        <row r="469">
          <cell r="D469" t="str">
            <v>Beginning balance</v>
          </cell>
          <cell r="M469" t="str">
            <v>-</v>
          </cell>
          <cell r="S469" t="str">
            <v>-</v>
          </cell>
          <cell r="Y469" t="str">
            <v>-</v>
          </cell>
          <cell r="AE469" t="str">
            <v>-</v>
          </cell>
          <cell r="AJ469" t="str">
            <v>-</v>
          </cell>
          <cell r="AP469" t="str">
            <v>-</v>
          </cell>
          <cell r="AW469" t="str">
            <v xml:space="preserve">Số dư đầu năm </v>
          </cell>
          <cell r="BF469" t="str">
            <v>-</v>
          </cell>
          <cell r="BL469" t="str">
            <v>-</v>
          </cell>
          <cell r="BR469" t="str">
            <v>-</v>
          </cell>
          <cell r="BX469" t="str">
            <v>-</v>
          </cell>
          <cell r="CC469" t="str">
            <v>-</v>
          </cell>
          <cell r="CI469" t="str">
            <v>-</v>
          </cell>
          <cell r="CN469" t="str">
            <v>Beginning balance</v>
          </cell>
          <cell r="CW469" t="str">
            <v>-</v>
          </cell>
          <cell r="DC469" t="str">
            <v>-</v>
          </cell>
          <cell r="DI469" t="str">
            <v>-</v>
          </cell>
          <cell r="DO469" t="str">
            <v>-</v>
          </cell>
          <cell r="DT469" t="str">
            <v>-</v>
          </cell>
          <cell r="DZ469" t="str">
            <v>-</v>
          </cell>
          <cell r="ED469" t="str">
            <v xml:space="preserve">Số dư đầu năm </v>
          </cell>
          <cell r="EM469" t="str">
            <v>-</v>
          </cell>
          <cell r="ES469" t="str">
            <v>-</v>
          </cell>
          <cell r="EY469" t="str">
            <v>-</v>
          </cell>
          <cell r="FE469" t="str">
            <v>-</v>
          </cell>
          <cell r="FJ469" t="str">
            <v>-</v>
          </cell>
          <cell r="FP469" t="str">
            <v>-</v>
          </cell>
        </row>
        <row r="470">
          <cell r="D470" t="str">
            <v>New purchases</v>
          </cell>
          <cell r="M470" t="str">
            <v>-</v>
          </cell>
          <cell r="S470" t="str">
            <v>-</v>
          </cell>
          <cell r="Y470" t="str">
            <v>-</v>
          </cell>
          <cell r="AE470" t="str">
            <v>-</v>
          </cell>
          <cell r="AJ470" t="str">
            <v>-</v>
          </cell>
          <cell r="AP470" t="str">
            <v>-</v>
          </cell>
          <cell r="AW470" t="str">
            <v>Mua trong năm</v>
          </cell>
          <cell r="BF470" t="str">
            <v>-</v>
          </cell>
          <cell r="BL470" t="str">
            <v>-</v>
          </cell>
          <cell r="BR470" t="str">
            <v>-</v>
          </cell>
          <cell r="BX470" t="str">
            <v>-</v>
          </cell>
          <cell r="CC470" t="str">
            <v>-</v>
          </cell>
          <cell r="CI470" t="str">
            <v>-</v>
          </cell>
          <cell r="CN470" t="str">
            <v>New purchases</v>
          </cell>
          <cell r="CW470" t="str">
            <v>-</v>
          </cell>
          <cell r="DC470" t="str">
            <v>-</v>
          </cell>
          <cell r="DI470" t="str">
            <v>-</v>
          </cell>
          <cell r="DO470" t="str">
            <v>-</v>
          </cell>
          <cell r="DT470" t="str">
            <v>-</v>
          </cell>
          <cell r="DZ470" t="str">
            <v>-</v>
          </cell>
          <cell r="ED470" t="str">
            <v>Mua trong năm</v>
          </cell>
          <cell r="EM470" t="str">
            <v>-</v>
          </cell>
          <cell r="ES470" t="str">
            <v>-</v>
          </cell>
          <cell r="EY470" t="str">
            <v>-</v>
          </cell>
          <cell r="FE470" t="str">
            <v>-</v>
          </cell>
          <cell r="FJ470" t="str">
            <v>-</v>
          </cell>
          <cell r="FP470" t="str">
            <v>-</v>
          </cell>
        </row>
        <row r="471">
          <cell r="D471" t="str">
            <v>Transferred from</v>
          </cell>
          <cell r="M471" t="str">
            <v>-</v>
          </cell>
          <cell r="S471" t="str">
            <v>-</v>
          </cell>
          <cell r="Y471" t="str">
            <v>-</v>
          </cell>
          <cell r="AE471" t="str">
            <v>-</v>
          </cell>
          <cell r="AJ471" t="str">
            <v>-</v>
          </cell>
          <cell r="AP471" t="str">
            <v>-</v>
          </cell>
          <cell r="AW471" t="str">
            <v>Đầu tư XDCB</v>
          </cell>
          <cell r="BF471" t="str">
            <v>-</v>
          </cell>
          <cell r="BL471" t="str">
            <v>-</v>
          </cell>
          <cell r="BR471" t="str">
            <v>-</v>
          </cell>
          <cell r="BX471" t="str">
            <v>-</v>
          </cell>
          <cell r="CC471" t="str">
            <v>-</v>
          </cell>
          <cell r="CI471" t="str">
            <v>-</v>
          </cell>
          <cell r="CN471" t="str">
            <v>Transferred from</v>
          </cell>
          <cell r="CW471" t="str">
            <v>-</v>
          </cell>
          <cell r="DC471" t="str">
            <v>-</v>
          </cell>
          <cell r="DI471" t="str">
            <v>-</v>
          </cell>
          <cell r="DO471" t="str">
            <v>-</v>
          </cell>
          <cell r="DT471" t="str">
            <v>-</v>
          </cell>
          <cell r="DZ471" t="str">
            <v>-</v>
          </cell>
          <cell r="ED471" t="str">
            <v>Đầu tư XDCB</v>
          </cell>
          <cell r="EM471" t="str">
            <v>-</v>
          </cell>
          <cell r="ES471" t="str">
            <v>-</v>
          </cell>
          <cell r="EY471" t="str">
            <v>-</v>
          </cell>
          <cell r="FE471" t="str">
            <v>-</v>
          </cell>
          <cell r="FJ471" t="str">
            <v>-</v>
          </cell>
          <cell r="FP471" t="str">
            <v>-</v>
          </cell>
        </row>
        <row r="472">
          <cell r="D472" t="str">
            <v>CIP</v>
          </cell>
          <cell r="AW472" t="str">
            <v>hoàn thành</v>
          </cell>
          <cell r="CN472" t="str">
            <v>CIP</v>
          </cell>
          <cell r="ED472" t="str">
            <v>hoàn thành</v>
          </cell>
        </row>
        <row r="473">
          <cell r="D473" t="str">
            <v>Other increase</v>
          </cell>
          <cell r="M473" t="str">
            <v>-</v>
          </cell>
          <cell r="S473" t="str">
            <v>-</v>
          </cell>
          <cell r="Y473" t="str">
            <v>-</v>
          </cell>
          <cell r="AE473" t="str">
            <v>-</v>
          </cell>
          <cell r="AJ473" t="str">
            <v>-</v>
          </cell>
          <cell r="AP473" t="str">
            <v>-</v>
          </cell>
          <cell r="AW473" t="str">
            <v>Tăng khác</v>
          </cell>
          <cell r="BF473" t="str">
            <v>-</v>
          </cell>
          <cell r="BL473" t="str">
            <v>-</v>
          </cell>
          <cell r="BR473" t="str">
            <v>-</v>
          </cell>
          <cell r="BX473" t="str">
            <v>-</v>
          </cell>
          <cell r="CC473" t="str">
            <v>-</v>
          </cell>
          <cell r="CI473" t="str">
            <v>-</v>
          </cell>
          <cell r="CN473" t="str">
            <v>Other increase</v>
          </cell>
          <cell r="CW473" t="str">
            <v>-</v>
          </cell>
          <cell r="DC473" t="str">
            <v>-</v>
          </cell>
          <cell r="DI473" t="str">
            <v>-</v>
          </cell>
          <cell r="DO473" t="str">
            <v>-</v>
          </cell>
          <cell r="DT473" t="str">
            <v>-</v>
          </cell>
          <cell r="DZ473" t="str">
            <v>-</v>
          </cell>
          <cell r="ED473" t="str">
            <v>Tăng khác</v>
          </cell>
          <cell r="EM473" t="str">
            <v>-</v>
          </cell>
          <cell r="ES473" t="str">
            <v>-</v>
          </cell>
          <cell r="EY473" t="str">
            <v>-</v>
          </cell>
          <cell r="FE473" t="str">
            <v>-</v>
          </cell>
          <cell r="FJ473" t="str">
            <v>-</v>
          </cell>
          <cell r="FP473" t="str">
            <v>-</v>
          </cell>
        </row>
        <row r="474">
          <cell r="D474" t="str">
            <v>Transferred to</v>
          </cell>
          <cell r="M474" t="str">
            <v>-</v>
          </cell>
          <cell r="S474" t="str">
            <v>-</v>
          </cell>
          <cell r="Y474" t="str">
            <v>-</v>
          </cell>
          <cell r="AE474" t="str">
            <v>-</v>
          </cell>
          <cell r="AJ474" t="str">
            <v>-</v>
          </cell>
          <cell r="AP474" t="str">
            <v>-</v>
          </cell>
          <cell r="AW474" t="str">
            <v>Chuyển sang</v>
          </cell>
          <cell r="BF474" t="str">
            <v>-</v>
          </cell>
          <cell r="BL474" t="str">
            <v>-</v>
          </cell>
          <cell r="BR474" t="str">
            <v>-</v>
          </cell>
          <cell r="BX474" t="str">
            <v>-</v>
          </cell>
          <cell r="CC474" t="str">
            <v>-</v>
          </cell>
          <cell r="CI474" t="str">
            <v>-</v>
          </cell>
          <cell r="CN474" t="str">
            <v>Transferred to</v>
          </cell>
          <cell r="CW474" t="str">
            <v>-</v>
          </cell>
          <cell r="DC474" t="str">
            <v>-</v>
          </cell>
          <cell r="DI474" t="str">
            <v>-</v>
          </cell>
          <cell r="DO474" t="str">
            <v>-</v>
          </cell>
          <cell r="DT474" t="str">
            <v>-</v>
          </cell>
          <cell r="DZ474" t="str">
            <v>-</v>
          </cell>
          <cell r="ED474" t="str">
            <v>Chuyển sang</v>
          </cell>
          <cell r="EM474" t="str">
            <v>-</v>
          </cell>
          <cell r="ES474" t="str">
            <v>-</v>
          </cell>
          <cell r="EY474" t="str">
            <v>-</v>
          </cell>
          <cell r="FE474" t="str">
            <v>-</v>
          </cell>
          <cell r="FJ474" t="str">
            <v>-</v>
          </cell>
          <cell r="FP474" t="str">
            <v>-</v>
          </cell>
        </row>
        <row r="475">
          <cell r="D475" t="str">
            <v>investment properties</v>
          </cell>
          <cell r="AW475" t="str">
            <v>bất động sản đầu tư</v>
          </cell>
          <cell r="CN475" t="str">
            <v>investment properties</v>
          </cell>
          <cell r="ED475" t="str">
            <v>bất động sản đầu tư</v>
          </cell>
        </row>
        <row r="476">
          <cell r="D476" t="str">
            <v>Transferred to</v>
          </cell>
          <cell r="M476" t="str">
            <v>-</v>
          </cell>
          <cell r="S476" t="str">
            <v>-</v>
          </cell>
          <cell r="Y476" t="str">
            <v>-</v>
          </cell>
          <cell r="AE476" t="str">
            <v>-</v>
          </cell>
          <cell r="AJ476" t="str">
            <v>-</v>
          </cell>
          <cell r="AP476" t="str">
            <v>-</v>
          </cell>
          <cell r="AW476" t="str">
            <v>Chuyển sang</v>
          </cell>
          <cell r="BF476" t="str">
            <v>-</v>
          </cell>
          <cell r="BL476" t="str">
            <v>-</v>
          </cell>
          <cell r="BR476" t="str">
            <v>-</v>
          </cell>
          <cell r="BX476" t="str">
            <v>-</v>
          </cell>
          <cell r="CC476" t="str">
            <v>-</v>
          </cell>
          <cell r="CI476" t="str">
            <v>-</v>
          </cell>
          <cell r="CN476" t="str">
            <v>Transferred to</v>
          </cell>
          <cell r="CW476" t="str">
            <v>-</v>
          </cell>
          <cell r="DC476" t="str">
            <v>-</v>
          </cell>
          <cell r="DI476" t="str">
            <v>-</v>
          </cell>
          <cell r="DO476" t="str">
            <v>-</v>
          </cell>
          <cell r="DT476" t="str">
            <v>-</v>
          </cell>
          <cell r="DZ476" t="str">
            <v>-</v>
          </cell>
          <cell r="ED476" t="str">
            <v>Chuyển sang</v>
          </cell>
          <cell r="EM476" t="str">
            <v>-</v>
          </cell>
          <cell r="ES476" t="str">
            <v>-</v>
          </cell>
          <cell r="EY476" t="str">
            <v>-</v>
          </cell>
          <cell r="FE476" t="str">
            <v>-</v>
          </cell>
          <cell r="FJ476" t="str">
            <v>-</v>
          </cell>
          <cell r="FP476" t="str">
            <v>-</v>
          </cell>
        </row>
        <row r="477">
          <cell r="D477" t="str">
            <v>long-term prepaid expenses</v>
          </cell>
          <cell r="AW477" t="str">
            <v>chi phí trả trước dài hạn</v>
          </cell>
          <cell r="CN477" t="str">
            <v>long-term prepaid expenses</v>
          </cell>
          <cell r="ED477" t="str">
            <v>chi phí trả trước dài hạn</v>
          </cell>
        </row>
        <row r="478">
          <cell r="D478" t="str">
            <v>Disposed</v>
          </cell>
          <cell r="M478" t="str">
            <v>-</v>
          </cell>
          <cell r="S478" t="str">
            <v>-</v>
          </cell>
          <cell r="Y478" t="str">
            <v>-</v>
          </cell>
          <cell r="AE478" t="str">
            <v>-</v>
          </cell>
          <cell r="AJ478" t="str">
            <v>-</v>
          </cell>
          <cell r="AP478" t="str">
            <v>-</v>
          </cell>
          <cell r="AW478" t="str">
            <v>Thanh lý</v>
          </cell>
          <cell r="BF478" t="str">
            <v>-</v>
          </cell>
          <cell r="BL478" t="str">
            <v>-</v>
          </cell>
          <cell r="BR478" t="str">
            <v>-</v>
          </cell>
          <cell r="BX478" t="str">
            <v>-</v>
          </cell>
          <cell r="CC478" t="str">
            <v>-</v>
          </cell>
          <cell r="CI478" t="str">
            <v>-</v>
          </cell>
          <cell r="CN478" t="str">
            <v>Disposed</v>
          </cell>
          <cell r="CW478" t="str">
            <v>-</v>
          </cell>
          <cell r="DC478" t="str">
            <v>-</v>
          </cell>
          <cell r="DI478" t="str">
            <v>-</v>
          </cell>
          <cell r="DO478" t="str">
            <v>-</v>
          </cell>
          <cell r="DT478" t="str">
            <v>-</v>
          </cell>
          <cell r="DZ478" t="str">
            <v>-</v>
          </cell>
          <cell r="ED478" t="str">
            <v>Thanh lý</v>
          </cell>
          <cell r="EM478" t="str">
            <v>-</v>
          </cell>
          <cell r="ES478" t="str">
            <v>-</v>
          </cell>
          <cell r="EY478" t="str">
            <v>-</v>
          </cell>
          <cell r="FE478" t="str">
            <v>-</v>
          </cell>
          <cell r="FJ478" t="str">
            <v>-</v>
          </cell>
          <cell r="FP478" t="str">
            <v>-</v>
          </cell>
        </row>
        <row r="479">
          <cell r="D479" t="str">
            <v>Written off</v>
          </cell>
          <cell r="M479" t="str">
            <v>-</v>
          </cell>
          <cell r="S479" t="str">
            <v>-</v>
          </cell>
          <cell r="Y479" t="str">
            <v>-</v>
          </cell>
          <cell r="AE479" t="str">
            <v>-</v>
          </cell>
          <cell r="AJ479" t="str">
            <v>-</v>
          </cell>
          <cell r="AP479" t="str">
            <v>-</v>
          </cell>
          <cell r="AW479" t="str">
            <v>Xóa sổ</v>
          </cell>
          <cell r="BF479" t="str">
            <v>-</v>
          </cell>
          <cell r="BL479" t="str">
            <v>-</v>
          </cell>
          <cell r="BR479" t="str">
            <v>-</v>
          </cell>
          <cell r="BX479" t="str">
            <v>-</v>
          </cell>
          <cell r="CC479" t="str">
            <v>-</v>
          </cell>
          <cell r="CI479" t="str">
            <v>-</v>
          </cell>
          <cell r="CN479" t="str">
            <v>Written off</v>
          </cell>
          <cell r="CW479" t="str">
            <v>-</v>
          </cell>
          <cell r="DC479" t="str">
            <v>-</v>
          </cell>
          <cell r="DI479" t="str">
            <v>-</v>
          </cell>
          <cell r="DO479" t="str">
            <v>-</v>
          </cell>
          <cell r="DT479" t="str">
            <v>-</v>
          </cell>
          <cell r="DZ479" t="str">
            <v>-</v>
          </cell>
          <cell r="ED479" t="str">
            <v>Xóa sổ</v>
          </cell>
          <cell r="EM479" t="str">
            <v>-</v>
          </cell>
          <cell r="ES479" t="str">
            <v>-</v>
          </cell>
          <cell r="EY479" t="str">
            <v>-</v>
          </cell>
          <cell r="FE479" t="str">
            <v>-</v>
          </cell>
          <cell r="FJ479" t="str">
            <v>-</v>
          </cell>
          <cell r="FP479" t="str">
            <v>-</v>
          </cell>
        </row>
        <row r="480">
          <cell r="D480" t="str">
            <v>Reclassifications</v>
          </cell>
          <cell r="M480" t="str">
            <v>-</v>
          </cell>
          <cell r="S480" t="str">
            <v>-</v>
          </cell>
          <cell r="Y480" t="str">
            <v>-</v>
          </cell>
          <cell r="AE480" t="str">
            <v>-</v>
          </cell>
          <cell r="AJ480" t="str">
            <v>-</v>
          </cell>
          <cell r="AP480" t="str">
            <v>-</v>
          </cell>
          <cell r="AW480" t="str">
            <v>Phân loại lại</v>
          </cell>
          <cell r="BF480" t="str">
            <v>-</v>
          </cell>
          <cell r="BL480" t="str">
            <v>-</v>
          </cell>
          <cell r="BR480" t="str">
            <v>-</v>
          </cell>
          <cell r="BX480" t="str">
            <v>-</v>
          </cell>
          <cell r="CC480" t="str">
            <v>-</v>
          </cell>
          <cell r="CI480" t="str">
            <v>-</v>
          </cell>
          <cell r="CN480" t="str">
            <v>Reclassifications</v>
          </cell>
          <cell r="CW480" t="str">
            <v>-</v>
          </cell>
          <cell r="DC480" t="str">
            <v>-</v>
          </cell>
          <cell r="DI480" t="str">
            <v>-</v>
          </cell>
          <cell r="DO480" t="str">
            <v>-</v>
          </cell>
          <cell r="DT480" t="str">
            <v>-</v>
          </cell>
          <cell r="DZ480" t="str">
            <v>-</v>
          </cell>
          <cell r="ED480" t="str">
            <v>Phân loại lại</v>
          </cell>
          <cell r="EM480" t="str">
            <v>-</v>
          </cell>
          <cell r="ES480" t="str">
            <v>-</v>
          </cell>
          <cell r="EY480" t="str">
            <v>-</v>
          </cell>
          <cell r="FE480" t="str">
            <v>-</v>
          </cell>
          <cell r="FJ480" t="str">
            <v>-</v>
          </cell>
          <cell r="FP480" t="str">
            <v>-</v>
          </cell>
        </row>
        <row r="481">
          <cell r="D481" t="str">
            <v>Other decreases</v>
          </cell>
          <cell r="M481" t="str">
            <v>-</v>
          </cell>
          <cell r="S481" t="str">
            <v>-</v>
          </cell>
          <cell r="Y481" t="str">
            <v>-</v>
          </cell>
          <cell r="AE481" t="str">
            <v>-</v>
          </cell>
          <cell r="AJ481" t="str">
            <v>-</v>
          </cell>
          <cell r="AP481" t="str">
            <v>-</v>
          </cell>
          <cell r="AW481" t="str">
            <v>Giảm khác</v>
          </cell>
          <cell r="BF481" t="str">
            <v>-</v>
          </cell>
          <cell r="BL481" t="str">
            <v>-</v>
          </cell>
          <cell r="BR481" t="str">
            <v>-</v>
          </cell>
          <cell r="BX481" t="str">
            <v>-</v>
          </cell>
          <cell r="CC481" t="str">
            <v>-</v>
          </cell>
          <cell r="CI481" t="str">
            <v>-</v>
          </cell>
          <cell r="CN481" t="str">
            <v>Other decreases</v>
          </cell>
          <cell r="CW481" t="str">
            <v>-</v>
          </cell>
          <cell r="DC481" t="str">
            <v>-</v>
          </cell>
          <cell r="DI481" t="str">
            <v>-</v>
          </cell>
          <cell r="DO481" t="str">
            <v>-</v>
          </cell>
          <cell r="DT481" t="str">
            <v>-</v>
          </cell>
          <cell r="DZ481" t="str">
            <v>-</v>
          </cell>
          <cell r="ED481" t="str">
            <v>Giảm khác</v>
          </cell>
          <cell r="EM481" t="str">
            <v>-</v>
          </cell>
          <cell r="ES481" t="str">
            <v>-</v>
          </cell>
          <cell r="EY481" t="str">
            <v>-</v>
          </cell>
          <cell r="FE481" t="str">
            <v>-</v>
          </cell>
          <cell r="FJ481" t="str">
            <v>-</v>
          </cell>
          <cell r="FP481" t="str">
            <v>-</v>
          </cell>
        </row>
        <row r="482">
          <cell r="CN482" t="str">
            <v>FX difference (*)</v>
          </cell>
          <cell r="CW482" t="str">
            <v>-</v>
          </cell>
          <cell r="DC482" t="str">
            <v>-</v>
          </cell>
          <cell r="DI482" t="str">
            <v>-</v>
          </cell>
          <cell r="DO482" t="str">
            <v>-</v>
          </cell>
          <cell r="DT482" t="str">
            <v>-</v>
          </cell>
          <cell r="DZ482" t="str">
            <v>-</v>
          </cell>
          <cell r="ED482" t="str">
            <v>CLTG (*)</v>
          </cell>
          <cell r="EM482" t="str">
            <v>-</v>
          </cell>
          <cell r="ES482" t="str">
            <v>-</v>
          </cell>
          <cell r="EY482" t="str">
            <v>-</v>
          </cell>
          <cell r="FE482" t="str">
            <v>-</v>
          </cell>
          <cell r="FJ482" t="str">
            <v>-</v>
          </cell>
          <cell r="FP482" t="str">
            <v>-</v>
          </cell>
        </row>
        <row r="483">
          <cell r="D483" t="str">
            <v>Ending balance</v>
          </cell>
          <cell r="M483" t="str">
            <v>-</v>
          </cell>
          <cell r="S483" t="str">
            <v>-</v>
          </cell>
          <cell r="Y483" t="str">
            <v>-</v>
          </cell>
          <cell r="AE483" t="str">
            <v>-</v>
          </cell>
          <cell r="AJ483" t="str">
            <v>-</v>
          </cell>
          <cell r="AP483" t="str">
            <v>-</v>
          </cell>
          <cell r="AW483" t="str">
            <v>Số dư cuối năm</v>
          </cell>
          <cell r="BF483" t="str">
            <v>-</v>
          </cell>
          <cell r="BL483" t="str">
            <v>-</v>
          </cell>
          <cell r="BR483" t="str">
            <v>-</v>
          </cell>
          <cell r="BX483" t="str">
            <v>-</v>
          </cell>
          <cell r="CC483" t="str">
            <v>-</v>
          </cell>
          <cell r="CI483" t="str">
            <v>-</v>
          </cell>
          <cell r="CN483" t="str">
            <v>Ending balance</v>
          </cell>
          <cell r="CW483" t="str">
            <v>-</v>
          </cell>
          <cell r="DC483" t="str">
            <v>-</v>
          </cell>
          <cell r="DI483" t="str">
            <v>-</v>
          </cell>
          <cell r="DO483" t="str">
            <v>-</v>
          </cell>
          <cell r="DT483" t="str">
            <v>-</v>
          </cell>
          <cell r="DZ483" t="str">
            <v>-</v>
          </cell>
          <cell r="ED483" t="str">
            <v>Số dư cuối năm</v>
          </cell>
          <cell r="EM483" t="str">
            <v>-</v>
          </cell>
          <cell r="ES483" t="str">
            <v>-</v>
          </cell>
          <cell r="EY483" t="str">
            <v>-</v>
          </cell>
          <cell r="FE483" t="str">
            <v>-</v>
          </cell>
          <cell r="FJ483" t="str">
            <v>-</v>
          </cell>
          <cell r="FP483" t="str">
            <v>-</v>
          </cell>
        </row>
        <row r="485">
          <cell r="D485" t="str">
            <v>In which:</v>
          </cell>
          <cell r="AW485" t="str">
            <v>Trong đó:</v>
          </cell>
          <cell r="CN485" t="str">
            <v>In which:</v>
          </cell>
          <cell r="ED485" t="str">
            <v>Trong đó:</v>
          </cell>
        </row>
        <row r="486">
          <cell r="D486" t="str">
            <v>Fully depreciated</v>
          </cell>
          <cell r="M486" t="str">
            <v>-</v>
          </cell>
          <cell r="S486" t="str">
            <v>-</v>
          </cell>
          <cell r="Y486" t="str">
            <v>-</v>
          </cell>
          <cell r="AE486" t="str">
            <v>-</v>
          </cell>
          <cell r="AJ486" t="str">
            <v>-</v>
          </cell>
          <cell r="AP486" t="str">
            <v>-</v>
          </cell>
          <cell r="AW486" t="str">
            <v>Đã khấu hao hết</v>
          </cell>
          <cell r="BF486" t="str">
            <v>-</v>
          </cell>
          <cell r="BL486" t="str">
            <v>-</v>
          </cell>
          <cell r="BR486" t="str">
            <v>-</v>
          </cell>
          <cell r="BX486" t="str">
            <v>-</v>
          </cell>
          <cell r="CC486" t="str">
            <v>-</v>
          </cell>
          <cell r="CI486" t="str">
            <v>-</v>
          </cell>
          <cell r="CN486" t="str">
            <v>Fully depreciated</v>
          </cell>
          <cell r="CW486" t="str">
            <v>-</v>
          </cell>
          <cell r="DC486" t="str">
            <v>-</v>
          </cell>
          <cell r="DI486" t="str">
            <v>-</v>
          </cell>
          <cell r="DO486" t="str">
            <v>-</v>
          </cell>
          <cell r="DT486" t="str">
            <v>-</v>
          </cell>
          <cell r="DZ486" t="str">
            <v>-</v>
          </cell>
          <cell r="ED486" t="str">
            <v>Đã khấu hao hết</v>
          </cell>
          <cell r="EM486" t="str">
            <v>-</v>
          </cell>
          <cell r="ES486" t="str">
            <v>-</v>
          </cell>
          <cell r="EY486" t="str">
            <v>-</v>
          </cell>
          <cell r="FE486" t="str">
            <v>-</v>
          </cell>
          <cell r="FJ486" t="str">
            <v>-</v>
          </cell>
          <cell r="FP486" t="str">
            <v>-</v>
          </cell>
        </row>
        <row r="487">
          <cell r="D487" t="str">
            <v>Awaiting for disposal</v>
          </cell>
          <cell r="M487" t="str">
            <v>-</v>
          </cell>
          <cell r="S487" t="str">
            <v>-</v>
          </cell>
          <cell r="Y487" t="str">
            <v>-</v>
          </cell>
          <cell r="AE487" t="str">
            <v>-</v>
          </cell>
          <cell r="AJ487" t="str">
            <v>-</v>
          </cell>
          <cell r="AP487" t="str">
            <v>-</v>
          </cell>
          <cell r="AW487" t="str">
            <v>Chờ thanh lý</v>
          </cell>
          <cell r="BF487" t="str">
            <v>-</v>
          </cell>
          <cell r="BL487" t="str">
            <v>-</v>
          </cell>
          <cell r="BR487" t="str">
            <v>-</v>
          </cell>
          <cell r="BX487" t="str">
            <v>-</v>
          </cell>
          <cell r="CC487" t="str">
            <v>-</v>
          </cell>
          <cell r="CI487" t="str">
            <v>-</v>
          </cell>
          <cell r="CN487" t="str">
            <v>Awaiting for disposal</v>
          </cell>
          <cell r="CW487" t="str">
            <v>-</v>
          </cell>
          <cell r="DC487" t="str">
            <v>-</v>
          </cell>
          <cell r="DI487" t="str">
            <v>-</v>
          </cell>
          <cell r="DO487" t="str">
            <v>-</v>
          </cell>
          <cell r="DT487" t="str">
            <v>-</v>
          </cell>
          <cell r="DZ487" t="str">
            <v>-</v>
          </cell>
          <cell r="ED487" t="str">
            <v>Chờ thanh lý</v>
          </cell>
          <cell r="EM487" t="str">
            <v>-</v>
          </cell>
          <cell r="ES487" t="str">
            <v>-</v>
          </cell>
          <cell r="EY487" t="str">
            <v>-</v>
          </cell>
          <cell r="FE487" t="str">
            <v>-</v>
          </cell>
          <cell r="FJ487" t="str">
            <v>-</v>
          </cell>
          <cell r="FP487" t="str">
            <v>-</v>
          </cell>
        </row>
        <row r="488">
          <cell r="D488" t="str">
            <v>Not used</v>
          </cell>
          <cell r="M488" t="str">
            <v>-</v>
          </cell>
          <cell r="S488" t="str">
            <v>-</v>
          </cell>
          <cell r="Y488" t="str">
            <v>-</v>
          </cell>
          <cell r="AE488" t="str">
            <v>-</v>
          </cell>
          <cell r="AJ488" t="str">
            <v>-</v>
          </cell>
          <cell r="AP488" t="str">
            <v>-</v>
          </cell>
          <cell r="AW488" t="str">
            <v>Không sử dụng</v>
          </cell>
          <cell r="BF488" t="str">
            <v>-</v>
          </cell>
          <cell r="BL488" t="str">
            <v>-</v>
          </cell>
          <cell r="BR488" t="str">
            <v>-</v>
          </cell>
          <cell r="BX488" t="str">
            <v>-</v>
          </cell>
          <cell r="CC488" t="str">
            <v>-</v>
          </cell>
          <cell r="CI488" t="str">
            <v>-</v>
          </cell>
          <cell r="CN488" t="str">
            <v>Not used</v>
          </cell>
          <cell r="CW488" t="str">
            <v>-</v>
          </cell>
          <cell r="DC488" t="str">
            <v>-</v>
          </cell>
          <cell r="DI488" t="str">
            <v>-</v>
          </cell>
          <cell r="DO488" t="str">
            <v>-</v>
          </cell>
          <cell r="DT488" t="str">
            <v>-</v>
          </cell>
          <cell r="DZ488" t="str">
            <v>-</v>
          </cell>
          <cell r="ED488" t="str">
            <v>Không sử dụng</v>
          </cell>
          <cell r="EM488" t="str">
            <v>-</v>
          </cell>
          <cell r="ES488" t="str">
            <v>-</v>
          </cell>
          <cell r="EY488" t="str">
            <v>-</v>
          </cell>
          <cell r="FE488" t="str">
            <v>-</v>
          </cell>
          <cell r="FJ488" t="str">
            <v>-</v>
          </cell>
          <cell r="FP488" t="str">
            <v>-</v>
          </cell>
        </row>
        <row r="490">
          <cell r="D490" t="str">
            <v>Accumulated depreciation</v>
          </cell>
          <cell r="AW490" t="str">
            <v>Giá trị hao mòn lũy kế</v>
          </cell>
          <cell r="CN490" t="str">
            <v>Accumulated depreciation</v>
          </cell>
          <cell r="ED490" t="str">
            <v>Giá trị hao mòn lũy kế</v>
          </cell>
        </row>
        <row r="491">
          <cell r="D491" t="str">
            <v>Beginning balance</v>
          </cell>
          <cell r="M491" t="str">
            <v>-</v>
          </cell>
          <cell r="S491" t="str">
            <v>-</v>
          </cell>
          <cell r="Y491" t="str">
            <v>-</v>
          </cell>
          <cell r="AE491" t="str">
            <v>-</v>
          </cell>
          <cell r="AJ491" t="str">
            <v>-</v>
          </cell>
          <cell r="AP491" t="str">
            <v>-</v>
          </cell>
          <cell r="AW491" t="str">
            <v xml:space="preserve">Số dư đầu năm </v>
          </cell>
          <cell r="BF491" t="str">
            <v>-</v>
          </cell>
          <cell r="BL491" t="str">
            <v>-</v>
          </cell>
          <cell r="BR491" t="str">
            <v>-</v>
          </cell>
          <cell r="BX491" t="str">
            <v>-</v>
          </cell>
          <cell r="CC491" t="str">
            <v>-</v>
          </cell>
          <cell r="CI491" t="str">
            <v>-</v>
          </cell>
          <cell r="CN491" t="str">
            <v>Beginning balance</v>
          </cell>
          <cell r="CW491" t="str">
            <v>-</v>
          </cell>
          <cell r="DC491" t="str">
            <v>-</v>
          </cell>
          <cell r="DI491" t="str">
            <v>-</v>
          </cell>
          <cell r="DO491" t="str">
            <v>-</v>
          </cell>
          <cell r="DT491" t="str">
            <v>-</v>
          </cell>
          <cell r="DZ491" t="str">
            <v>-</v>
          </cell>
          <cell r="ED491" t="str">
            <v xml:space="preserve">Số dư đầu năm </v>
          </cell>
          <cell r="EM491" t="str">
            <v>-</v>
          </cell>
          <cell r="ES491" t="str">
            <v>-</v>
          </cell>
          <cell r="EY491" t="str">
            <v>-</v>
          </cell>
          <cell r="FE491" t="str">
            <v>-</v>
          </cell>
          <cell r="FJ491" t="str">
            <v>-</v>
          </cell>
          <cell r="FP491" t="str">
            <v>-</v>
          </cell>
        </row>
        <row r="492">
          <cell r="D492" t="str">
            <v>Depreciation</v>
          </cell>
          <cell r="M492" t="str">
            <v>-</v>
          </cell>
          <cell r="S492" t="str">
            <v>-</v>
          </cell>
          <cell r="Y492" t="str">
            <v>-</v>
          </cell>
          <cell r="AE492" t="str">
            <v>-</v>
          </cell>
          <cell r="AJ492" t="str">
            <v>-</v>
          </cell>
          <cell r="AP492" t="str">
            <v>-</v>
          </cell>
          <cell r="AW492" t="str">
            <v>Khấu hao</v>
          </cell>
          <cell r="BF492" t="str">
            <v>-</v>
          </cell>
          <cell r="BL492" t="str">
            <v>-</v>
          </cell>
          <cell r="BR492" t="str">
            <v>-</v>
          </cell>
          <cell r="BX492" t="str">
            <v>-</v>
          </cell>
          <cell r="CC492" t="str">
            <v>-</v>
          </cell>
          <cell r="CI492" t="str">
            <v>-</v>
          </cell>
          <cell r="CN492" t="str">
            <v>Depreciation</v>
          </cell>
          <cell r="CW492" t="str">
            <v>-</v>
          </cell>
          <cell r="DC492" t="str">
            <v>-</v>
          </cell>
          <cell r="DI492" t="str">
            <v>-</v>
          </cell>
          <cell r="DO492" t="str">
            <v>-</v>
          </cell>
          <cell r="DT492" t="str">
            <v>-</v>
          </cell>
          <cell r="DZ492" t="str">
            <v>-</v>
          </cell>
          <cell r="ED492" t="str">
            <v>Khấu hao</v>
          </cell>
          <cell r="EM492" t="str">
            <v>-</v>
          </cell>
          <cell r="ES492" t="str">
            <v>-</v>
          </cell>
          <cell r="EY492" t="str">
            <v>-</v>
          </cell>
          <cell r="FE492" t="str">
            <v>-</v>
          </cell>
          <cell r="FJ492" t="str">
            <v>-</v>
          </cell>
          <cell r="FP492" t="str">
            <v>-</v>
          </cell>
        </row>
        <row r="493">
          <cell r="D493" t="str">
            <v>Other increases</v>
          </cell>
          <cell r="M493" t="str">
            <v>-</v>
          </cell>
          <cell r="S493" t="str">
            <v>-</v>
          </cell>
          <cell r="Y493" t="str">
            <v>-</v>
          </cell>
          <cell r="AE493" t="str">
            <v>-</v>
          </cell>
          <cell r="AJ493" t="str">
            <v>-</v>
          </cell>
          <cell r="AP493" t="str">
            <v>-</v>
          </cell>
          <cell r="AW493" t="str">
            <v>Tăng khác</v>
          </cell>
          <cell r="BF493" t="str">
            <v>-</v>
          </cell>
          <cell r="BL493" t="str">
            <v>-</v>
          </cell>
          <cell r="BR493" t="str">
            <v>-</v>
          </cell>
          <cell r="BX493" t="str">
            <v>-</v>
          </cell>
          <cell r="CC493" t="str">
            <v>-</v>
          </cell>
          <cell r="CI493" t="str">
            <v>-</v>
          </cell>
          <cell r="CN493" t="str">
            <v>Other increases</v>
          </cell>
          <cell r="CW493" t="str">
            <v>-</v>
          </cell>
          <cell r="DC493" t="str">
            <v>-</v>
          </cell>
          <cell r="DI493" t="str">
            <v>-</v>
          </cell>
          <cell r="DO493" t="str">
            <v>-</v>
          </cell>
          <cell r="DT493" t="str">
            <v>-</v>
          </cell>
          <cell r="DZ493" t="str">
            <v>-</v>
          </cell>
          <cell r="ED493" t="str">
            <v>Tăng khác</v>
          </cell>
          <cell r="EM493" t="str">
            <v>-</v>
          </cell>
          <cell r="ES493" t="str">
            <v>-</v>
          </cell>
          <cell r="EY493" t="str">
            <v>-</v>
          </cell>
          <cell r="FE493" t="str">
            <v>-</v>
          </cell>
          <cell r="FJ493" t="str">
            <v>-</v>
          </cell>
          <cell r="FP493" t="str">
            <v>-</v>
          </cell>
        </row>
        <row r="494">
          <cell r="D494" t="str">
            <v>Transferred to</v>
          </cell>
          <cell r="M494" t="str">
            <v>-</v>
          </cell>
          <cell r="S494" t="str">
            <v>-</v>
          </cell>
          <cell r="Y494" t="str">
            <v>-</v>
          </cell>
          <cell r="AE494" t="str">
            <v>-</v>
          </cell>
          <cell r="AJ494" t="str">
            <v>-</v>
          </cell>
          <cell r="AP494" t="str">
            <v>-</v>
          </cell>
          <cell r="AW494" t="str">
            <v>Chuyển sang</v>
          </cell>
          <cell r="BF494" t="str">
            <v>-</v>
          </cell>
          <cell r="BL494" t="str">
            <v>-</v>
          </cell>
          <cell r="BR494" t="str">
            <v>-</v>
          </cell>
          <cell r="BX494" t="str">
            <v>-</v>
          </cell>
          <cell r="CC494" t="str">
            <v>-</v>
          </cell>
          <cell r="CI494" t="str">
            <v>-</v>
          </cell>
          <cell r="CN494" t="str">
            <v>Transferred to</v>
          </cell>
          <cell r="CW494" t="str">
            <v>-</v>
          </cell>
          <cell r="DC494" t="str">
            <v>-</v>
          </cell>
          <cell r="DI494" t="str">
            <v>-</v>
          </cell>
          <cell r="DO494" t="str">
            <v>-</v>
          </cell>
          <cell r="DT494" t="str">
            <v>-</v>
          </cell>
          <cell r="DZ494" t="str">
            <v>-</v>
          </cell>
          <cell r="ED494" t="str">
            <v>Chuyển sang</v>
          </cell>
          <cell r="EM494" t="str">
            <v>-</v>
          </cell>
          <cell r="ES494" t="str">
            <v>-</v>
          </cell>
          <cell r="EY494" t="str">
            <v>-</v>
          </cell>
          <cell r="FE494" t="str">
            <v>-</v>
          </cell>
          <cell r="FJ494" t="str">
            <v>-</v>
          </cell>
          <cell r="FP494" t="str">
            <v>-</v>
          </cell>
        </row>
        <row r="495">
          <cell r="D495" t="str">
            <v>investment properties</v>
          </cell>
          <cell r="AW495" t="str">
            <v>bất động sản đầu tư</v>
          </cell>
          <cell r="CN495" t="str">
            <v>investment properties</v>
          </cell>
          <cell r="ED495" t="str">
            <v>bất động sản đầu tư</v>
          </cell>
        </row>
        <row r="496">
          <cell r="D496" t="str">
            <v>Transferred to</v>
          </cell>
          <cell r="M496" t="str">
            <v>-</v>
          </cell>
          <cell r="S496" t="str">
            <v>-</v>
          </cell>
          <cell r="Y496" t="str">
            <v>-</v>
          </cell>
          <cell r="AE496" t="str">
            <v>-</v>
          </cell>
          <cell r="AJ496" t="str">
            <v>-</v>
          </cell>
          <cell r="AP496" t="str">
            <v>-</v>
          </cell>
          <cell r="AW496" t="str">
            <v>Chuyển sang</v>
          </cell>
          <cell r="BF496" t="str">
            <v>-</v>
          </cell>
          <cell r="BL496" t="str">
            <v>-</v>
          </cell>
          <cell r="BR496" t="str">
            <v>-</v>
          </cell>
          <cell r="BX496" t="str">
            <v>-</v>
          </cell>
          <cell r="CC496" t="str">
            <v>-</v>
          </cell>
          <cell r="CI496" t="str">
            <v>-</v>
          </cell>
          <cell r="CN496" t="str">
            <v>Transferred to</v>
          </cell>
          <cell r="CW496" t="str">
            <v>-</v>
          </cell>
          <cell r="DC496" t="str">
            <v>-</v>
          </cell>
          <cell r="DI496" t="str">
            <v>-</v>
          </cell>
          <cell r="DO496" t="str">
            <v>-</v>
          </cell>
          <cell r="DT496" t="str">
            <v>-</v>
          </cell>
          <cell r="DZ496" t="str">
            <v>-</v>
          </cell>
          <cell r="ED496" t="str">
            <v>Chuyển sang</v>
          </cell>
          <cell r="EM496" t="str">
            <v>-</v>
          </cell>
          <cell r="ES496" t="str">
            <v>-</v>
          </cell>
          <cell r="EY496" t="str">
            <v>-</v>
          </cell>
          <cell r="FE496" t="str">
            <v>-</v>
          </cell>
          <cell r="FJ496" t="str">
            <v>-</v>
          </cell>
          <cell r="FP496" t="str">
            <v>-</v>
          </cell>
        </row>
        <row r="497">
          <cell r="D497" t="str">
            <v>long-term prepaid expenses</v>
          </cell>
          <cell r="AW497" t="str">
            <v>chi phí trả trước dài hạn</v>
          </cell>
          <cell r="CN497" t="str">
            <v>long-term prepaid expenses</v>
          </cell>
          <cell r="ED497" t="str">
            <v>chi phí trả trước dài hạn</v>
          </cell>
        </row>
        <row r="498">
          <cell r="D498" t="str">
            <v>Disposed</v>
          </cell>
          <cell r="M498" t="str">
            <v>-</v>
          </cell>
          <cell r="S498" t="str">
            <v>-</v>
          </cell>
          <cell r="Y498" t="str">
            <v>-</v>
          </cell>
          <cell r="AE498" t="str">
            <v>-</v>
          </cell>
          <cell r="AJ498" t="str">
            <v>-</v>
          </cell>
          <cell r="AP498" t="str">
            <v>-</v>
          </cell>
          <cell r="AW498" t="str">
            <v>Thanh lý</v>
          </cell>
          <cell r="BF498" t="str">
            <v>-</v>
          </cell>
          <cell r="BL498" t="str">
            <v>-</v>
          </cell>
          <cell r="BR498" t="str">
            <v>-</v>
          </cell>
          <cell r="BX498" t="str">
            <v>-</v>
          </cell>
          <cell r="CC498" t="str">
            <v>-</v>
          </cell>
          <cell r="CI498" t="str">
            <v>-</v>
          </cell>
          <cell r="CN498" t="str">
            <v>Disposed</v>
          </cell>
          <cell r="CW498" t="str">
            <v>-</v>
          </cell>
          <cell r="DC498" t="str">
            <v>-</v>
          </cell>
          <cell r="DI498" t="str">
            <v>-</v>
          </cell>
          <cell r="DO498" t="str">
            <v>-</v>
          </cell>
          <cell r="DT498" t="str">
            <v>-</v>
          </cell>
          <cell r="DZ498" t="str">
            <v>-</v>
          </cell>
          <cell r="ED498" t="str">
            <v>Thanh lý</v>
          </cell>
          <cell r="EM498" t="str">
            <v>-</v>
          </cell>
          <cell r="ES498" t="str">
            <v>-</v>
          </cell>
          <cell r="EY498" t="str">
            <v>-</v>
          </cell>
          <cell r="FE498" t="str">
            <v>-</v>
          </cell>
          <cell r="FJ498" t="str">
            <v>-</v>
          </cell>
          <cell r="FP498" t="str">
            <v>-</v>
          </cell>
        </row>
        <row r="499">
          <cell r="D499" t="str">
            <v>Written off</v>
          </cell>
          <cell r="M499" t="str">
            <v>-</v>
          </cell>
          <cell r="S499" t="str">
            <v>-</v>
          </cell>
          <cell r="Y499" t="str">
            <v>-</v>
          </cell>
          <cell r="AE499" t="str">
            <v>-</v>
          </cell>
          <cell r="AJ499" t="str">
            <v>-</v>
          </cell>
          <cell r="AP499" t="str">
            <v>-</v>
          </cell>
          <cell r="AW499" t="str">
            <v>Xóa sổ</v>
          </cell>
          <cell r="BF499" t="str">
            <v>-</v>
          </cell>
          <cell r="BL499" t="str">
            <v>-</v>
          </cell>
          <cell r="BR499" t="str">
            <v>-</v>
          </cell>
          <cell r="BX499" t="str">
            <v>-</v>
          </cell>
          <cell r="CC499" t="str">
            <v>-</v>
          </cell>
          <cell r="CI499" t="str">
            <v>-</v>
          </cell>
          <cell r="CN499" t="str">
            <v>Written off</v>
          </cell>
          <cell r="CW499" t="str">
            <v>-</v>
          </cell>
          <cell r="DC499" t="str">
            <v>-</v>
          </cell>
          <cell r="DI499" t="str">
            <v>-</v>
          </cell>
          <cell r="DO499" t="str">
            <v>-</v>
          </cell>
          <cell r="DT499" t="str">
            <v>-</v>
          </cell>
          <cell r="DZ499" t="str">
            <v>-</v>
          </cell>
          <cell r="ED499" t="str">
            <v>Xóa sổ</v>
          </cell>
          <cell r="EM499" t="str">
            <v>-</v>
          </cell>
          <cell r="ES499" t="str">
            <v>-</v>
          </cell>
          <cell r="EY499" t="str">
            <v>-</v>
          </cell>
          <cell r="FE499" t="str">
            <v>-</v>
          </cell>
          <cell r="FJ499" t="str">
            <v>-</v>
          </cell>
          <cell r="FP499" t="str">
            <v>-</v>
          </cell>
        </row>
        <row r="500">
          <cell r="D500" t="str">
            <v>Reclassifications</v>
          </cell>
          <cell r="M500" t="str">
            <v>-</v>
          </cell>
          <cell r="S500" t="str">
            <v>-</v>
          </cell>
          <cell r="Y500" t="str">
            <v>-</v>
          </cell>
          <cell r="AE500" t="str">
            <v>-</v>
          </cell>
          <cell r="AJ500" t="str">
            <v>-</v>
          </cell>
          <cell r="AP500" t="str">
            <v>-</v>
          </cell>
          <cell r="AW500" t="str">
            <v>Phân loại lại</v>
          </cell>
          <cell r="BF500" t="str">
            <v>-</v>
          </cell>
          <cell r="BL500" t="str">
            <v>-</v>
          </cell>
          <cell r="BR500" t="str">
            <v>-</v>
          </cell>
          <cell r="BX500" t="str">
            <v>-</v>
          </cell>
          <cell r="CC500" t="str">
            <v>-</v>
          </cell>
          <cell r="CI500" t="str">
            <v>-</v>
          </cell>
          <cell r="CN500" t="str">
            <v>Reclassifications</v>
          </cell>
          <cell r="CW500" t="str">
            <v>-</v>
          </cell>
          <cell r="DC500" t="str">
            <v>-</v>
          </cell>
          <cell r="DI500" t="str">
            <v>-</v>
          </cell>
          <cell r="DO500" t="str">
            <v>-</v>
          </cell>
          <cell r="DT500" t="str">
            <v>-</v>
          </cell>
          <cell r="DZ500" t="str">
            <v>-</v>
          </cell>
          <cell r="ED500" t="str">
            <v>Phân loại lại</v>
          </cell>
          <cell r="EM500" t="str">
            <v>-</v>
          </cell>
          <cell r="ES500" t="str">
            <v>-</v>
          </cell>
          <cell r="EY500" t="str">
            <v>-</v>
          </cell>
          <cell r="FE500" t="str">
            <v>-</v>
          </cell>
          <cell r="FJ500" t="str">
            <v>-</v>
          </cell>
          <cell r="FP500" t="str">
            <v>-</v>
          </cell>
        </row>
        <row r="501">
          <cell r="D501" t="str">
            <v>Other decreases</v>
          </cell>
          <cell r="M501" t="str">
            <v>-</v>
          </cell>
          <cell r="S501" t="str">
            <v>-</v>
          </cell>
          <cell r="Y501" t="str">
            <v>-</v>
          </cell>
          <cell r="AE501" t="str">
            <v>-</v>
          </cell>
          <cell r="AJ501" t="str">
            <v>-</v>
          </cell>
          <cell r="AP501" t="str">
            <v>-</v>
          </cell>
          <cell r="AW501" t="str">
            <v>Giảm khác</v>
          </cell>
          <cell r="BF501" t="str">
            <v>-</v>
          </cell>
          <cell r="BL501" t="str">
            <v>-</v>
          </cell>
          <cell r="BR501" t="str">
            <v>-</v>
          </cell>
          <cell r="BX501" t="str">
            <v>-</v>
          </cell>
          <cell r="CC501" t="str">
            <v>-</v>
          </cell>
          <cell r="CI501" t="str">
            <v>-</v>
          </cell>
          <cell r="CN501" t="str">
            <v>Other decreases</v>
          </cell>
          <cell r="CW501" t="str">
            <v>-</v>
          </cell>
          <cell r="DC501" t="str">
            <v>-</v>
          </cell>
          <cell r="DI501" t="str">
            <v>-</v>
          </cell>
          <cell r="DO501" t="str">
            <v>-</v>
          </cell>
          <cell r="DT501" t="str">
            <v>-</v>
          </cell>
          <cell r="DZ501" t="str">
            <v>-</v>
          </cell>
          <cell r="ED501" t="str">
            <v>Giảm khác</v>
          </cell>
          <cell r="EM501" t="str">
            <v>-</v>
          </cell>
          <cell r="ES501" t="str">
            <v>-</v>
          </cell>
          <cell r="EY501" t="str">
            <v>-</v>
          </cell>
          <cell r="FE501" t="str">
            <v>-</v>
          </cell>
          <cell r="FJ501" t="str">
            <v>-</v>
          </cell>
          <cell r="FP501" t="str">
            <v>-</v>
          </cell>
        </row>
        <row r="502">
          <cell r="CN502" t="str">
            <v>FX difference (*)</v>
          </cell>
          <cell r="CW502" t="str">
            <v>-</v>
          </cell>
          <cell r="DC502" t="str">
            <v>-</v>
          </cell>
          <cell r="DI502" t="str">
            <v>-</v>
          </cell>
          <cell r="DO502" t="str">
            <v>-</v>
          </cell>
          <cell r="DT502" t="str">
            <v>-</v>
          </cell>
          <cell r="DZ502" t="str">
            <v>-</v>
          </cell>
          <cell r="ED502" t="str">
            <v>CLTG (*)</v>
          </cell>
          <cell r="EM502" t="str">
            <v>-</v>
          </cell>
          <cell r="ES502" t="str">
            <v>-</v>
          </cell>
          <cell r="EY502" t="str">
            <v>-</v>
          </cell>
          <cell r="FE502" t="str">
            <v>-</v>
          </cell>
          <cell r="FJ502" t="str">
            <v>-</v>
          </cell>
          <cell r="FP502" t="str">
            <v>-</v>
          </cell>
        </row>
        <row r="503">
          <cell r="D503" t="str">
            <v>Ending balance</v>
          </cell>
          <cell r="M503" t="str">
            <v>-</v>
          </cell>
          <cell r="S503" t="str">
            <v>-</v>
          </cell>
          <cell r="Y503" t="str">
            <v>-</v>
          </cell>
          <cell r="AE503" t="str">
            <v>-</v>
          </cell>
          <cell r="AJ503" t="str">
            <v>-</v>
          </cell>
          <cell r="AP503" t="str">
            <v>-</v>
          </cell>
          <cell r="AW503" t="str">
            <v>Số dư cuối năm</v>
          </cell>
          <cell r="BF503" t="str">
            <v>-</v>
          </cell>
          <cell r="BL503" t="str">
            <v>-</v>
          </cell>
          <cell r="BR503" t="str">
            <v>-</v>
          </cell>
          <cell r="BX503" t="str">
            <v>-</v>
          </cell>
          <cell r="CC503" t="str">
            <v>-</v>
          </cell>
          <cell r="CI503" t="str">
            <v>-</v>
          </cell>
          <cell r="CN503" t="str">
            <v>Ending balance</v>
          </cell>
          <cell r="CW503" t="str">
            <v>-</v>
          </cell>
          <cell r="DC503" t="str">
            <v>-</v>
          </cell>
          <cell r="DI503" t="str">
            <v>-</v>
          </cell>
          <cell r="DO503" t="str">
            <v>-</v>
          </cell>
          <cell r="DT503" t="str">
            <v>-</v>
          </cell>
          <cell r="DZ503" t="str">
            <v>-</v>
          </cell>
          <cell r="ED503" t="str">
            <v>Số dư cuối năm</v>
          </cell>
          <cell r="EM503" t="str">
            <v>-</v>
          </cell>
          <cell r="ES503" t="str">
            <v>-</v>
          </cell>
          <cell r="EY503" t="str">
            <v>-</v>
          </cell>
          <cell r="FE503" t="str">
            <v>-</v>
          </cell>
          <cell r="FJ503" t="str">
            <v>-</v>
          </cell>
          <cell r="FP503" t="str">
            <v>-</v>
          </cell>
        </row>
        <row r="505">
          <cell r="D505" t="str">
            <v>Net book value</v>
          </cell>
          <cell r="AW505" t="str">
            <v>Giá trị còn lại</v>
          </cell>
          <cell r="CN505" t="str">
            <v>Net book value</v>
          </cell>
          <cell r="ED505" t="str">
            <v>Giá trị còn lại</v>
          </cell>
        </row>
        <row r="506">
          <cell r="D506" t="str">
            <v>Beginning balance</v>
          </cell>
          <cell r="M506" t="str">
            <v>-</v>
          </cell>
          <cell r="S506" t="str">
            <v>-</v>
          </cell>
          <cell r="Y506" t="str">
            <v>-</v>
          </cell>
          <cell r="AE506" t="str">
            <v>-</v>
          </cell>
          <cell r="AJ506" t="str">
            <v>-</v>
          </cell>
          <cell r="AP506" t="str">
            <v>-</v>
          </cell>
          <cell r="AW506" t="str">
            <v>Tại ngày đầu năm</v>
          </cell>
          <cell r="BF506" t="str">
            <v>-</v>
          </cell>
          <cell r="BL506" t="str">
            <v>-</v>
          </cell>
          <cell r="BR506" t="str">
            <v>-</v>
          </cell>
          <cell r="BX506" t="str">
            <v>-</v>
          </cell>
          <cell r="CC506" t="str">
            <v>-</v>
          </cell>
          <cell r="CI506" t="str">
            <v>-</v>
          </cell>
          <cell r="CN506" t="str">
            <v>Beginning balance</v>
          </cell>
          <cell r="CW506" t="str">
            <v>-</v>
          </cell>
          <cell r="DC506" t="str">
            <v>-</v>
          </cell>
          <cell r="DI506" t="str">
            <v>-</v>
          </cell>
          <cell r="DO506" t="str">
            <v>-</v>
          </cell>
          <cell r="DT506" t="str">
            <v>-</v>
          </cell>
          <cell r="DZ506" t="str">
            <v>-</v>
          </cell>
          <cell r="ED506" t="str">
            <v>Tại ngày đầu năm</v>
          </cell>
          <cell r="EM506" t="str">
            <v>-</v>
          </cell>
          <cell r="ES506" t="str">
            <v>-</v>
          </cell>
          <cell r="EY506" t="str">
            <v>-</v>
          </cell>
          <cell r="FE506" t="str">
            <v>-</v>
          </cell>
          <cell r="FJ506" t="str">
            <v>-</v>
          </cell>
          <cell r="FP506" t="str">
            <v>-</v>
          </cell>
        </row>
        <row r="507">
          <cell r="D507" t="str">
            <v>Ending balance</v>
          </cell>
          <cell r="M507" t="str">
            <v>-</v>
          </cell>
          <cell r="S507" t="str">
            <v>-</v>
          </cell>
          <cell r="Y507" t="str">
            <v>-</v>
          </cell>
          <cell r="AE507" t="str">
            <v>-</v>
          </cell>
          <cell r="AJ507" t="str">
            <v>-</v>
          </cell>
          <cell r="AP507" t="str">
            <v>-</v>
          </cell>
          <cell r="AW507" t="str">
            <v>Tại ngày cuối năm</v>
          </cell>
          <cell r="BF507" t="str">
            <v>-</v>
          </cell>
          <cell r="BL507" t="str">
            <v>-</v>
          </cell>
          <cell r="BR507" t="str">
            <v>-</v>
          </cell>
          <cell r="BX507" t="str">
            <v>-</v>
          </cell>
          <cell r="CC507" t="str">
            <v>-</v>
          </cell>
          <cell r="CI507" t="str">
            <v>-</v>
          </cell>
          <cell r="CN507" t="str">
            <v>Ending balance</v>
          </cell>
          <cell r="CW507" t="str">
            <v>-</v>
          </cell>
          <cell r="DC507" t="str">
            <v>-</v>
          </cell>
          <cell r="DI507" t="str">
            <v>-</v>
          </cell>
          <cell r="DO507" t="str">
            <v>-</v>
          </cell>
          <cell r="DT507" t="str">
            <v>-</v>
          </cell>
          <cell r="DZ507" t="str">
            <v>-</v>
          </cell>
          <cell r="ED507" t="str">
            <v>Tại ngày cuối năm</v>
          </cell>
          <cell r="EM507" t="str">
            <v>-</v>
          </cell>
          <cell r="ES507" t="str">
            <v>-</v>
          </cell>
          <cell r="EY507" t="str">
            <v>-</v>
          </cell>
          <cell r="FE507" t="str">
            <v>-</v>
          </cell>
          <cell r="FJ507" t="str">
            <v>-</v>
          </cell>
          <cell r="FP507" t="str">
            <v>-</v>
          </cell>
        </row>
        <row r="509">
          <cell r="E509" t="str">
            <v>As at 31 December 2014, tangible fixed asset with the carrying amount of USD XXX (as at 31 December 2013: XXX USD) are pledged to secure bank loans of the Company.</v>
          </cell>
          <cell r="AX509" t="str">
            <v>Tại ngày 31 tháng 12 năm 2014 tài sản cố định hữu hình có giá trị ghi sổ là XXX USD (tại ngày 31 tháng 12 năm 2013: XXX USD) được thế chấp tại ngân hàng để bảo đảm cho các khoản vay của Công ty.</v>
          </cell>
          <cell r="CO509" t="str">
            <v>As at 31 December 2014, tangible fixed asset with the carrying amount of USD XXX (as at 31 December 2013: XXX USD) are pledged to secure bank loans of the Company.</v>
          </cell>
          <cell r="EE509" t="str">
            <v>Tại ngày 31 tháng 12 năm 2014 tài sản cố định hữu hình có giá trị ghi sổ là XXX USD (tại ngày 31 tháng 12 năm 2013: XXX USD) được thế chấp tại ngân hàng để bảo đảm cho các khoản vay của Công ty.</v>
          </cell>
        </row>
        <row r="513">
          <cell r="E513" t="str">
            <v>As at 31 March 2024, total cost of tangible fixed assets that have been fully depreciated but still in use is VND xxx,xxx,xxx.</v>
          </cell>
          <cell r="AX513" t="str">
            <v>Tại ngày 31 tháng 03 năm 2024, tổng nguyên giá TSCĐ hữu hình đã khấu hao hết nhưng vẫn còn sử dụng là xxx.xxx.xxx VND.</v>
          </cell>
          <cell r="CO513" t="str">
            <v>As at 31 March 2024, total cost of tangible fixed assets that have been fully depreciated but still in use is VND xxx,xxx,xxx.</v>
          </cell>
          <cell r="EE513" t="str">
            <v>Tại ngày 31 tháng 03 năm 2024, tổng nguyên giá TSCĐ hữu hình đã khấu hao hết nhưng vẫn còn sử dụng là xxx.xxx.xxx VND.</v>
          </cell>
        </row>
        <row r="516">
          <cell r="E516" t="str">
            <v>As at 31 March 2024, total cost of tangible fixed assets awaiting for disposal is VND xxx,xxx,xxx.</v>
          </cell>
          <cell r="AX516" t="str">
            <v>Tại ngày 31 tháng 03 năm 2024, tổng nguyên giá TSCĐ hữu hình chờ thanh lý là xxx.xxx.xxx VND.</v>
          </cell>
          <cell r="CO516" t="str">
            <v>As at 31 March 2024, total cost of tangible fixed assets awaiting for disposal is VND xxx,xxx,xxx.</v>
          </cell>
          <cell r="EE516" t="str">
            <v>Tại ngày 31 tháng 03 năm 2024, tổng nguyên giá TSCĐ hữu hình chờ thanh lý là xxx.xxx.xxx VND.</v>
          </cell>
        </row>
        <row r="519">
          <cell r="CO519" t="str">
            <v>FX difference (*): derived from the difference between exchange rates applied to translate.</v>
          </cell>
          <cell r="EE519" t="str">
            <v>CLTG (*): phát sinh do sự khác nhau giữa các tỷ giá áp dụng để chuyển đổi.</v>
          </cell>
        </row>
        <row r="521">
          <cell r="D521" t="str">
            <v>.</v>
          </cell>
          <cell r="E521" t="str">
            <v>FINANCE LEASED FIXED ASSETS</v>
          </cell>
          <cell r="AW521" t="str">
            <v>.</v>
          </cell>
          <cell r="AX521" t="str">
            <v>TÀI SẢN CỐ ĐỊNH THUÊ TÀI CHÍNH</v>
          </cell>
          <cell r="CN521" t="str">
            <v>.</v>
          </cell>
          <cell r="CO521" t="str">
            <v>FINANCE LEASED FIXED ASSETS</v>
          </cell>
          <cell r="ED521" t="str">
            <v>.</v>
          </cell>
          <cell r="EE521" t="str">
            <v>TÀI SẢN CỐ ĐỊNH THUÊ TÀI CHÍNH</v>
          </cell>
        </row>
        <row r="522">
          <cell r="DZ522" t="str">
            <v>Unit: VND 1,000</v>
          </cell>
          <cell r="FP522" t="str">
            <v>Đơn vị: 1.000 VND</v>
          </cell>
        </row>
        <row r="523">
          <cell r="D523" t="str">
            <v xml:space="preserve">Input figures in sheet "FA", </v>
          </cell>
        </row>
        <row r="524">
          <cell r="D524" t="str">
            <v>Move columns in grey to proper positions</v>
          </cell>
        </row>
        <row r="525">
          <cell r="FP525" t="str">
            <v/>
          </cell>
        </row>
        <row r="526">
          <cell r="M526" t="str">
            <v>Buildings &amp;</v>
          </cell>
          <cell r="S526" t="str">
            <v>Machinery</v>
          </cell>
          <cell r="Y526" t="str">
            <v>Means of</v>
          </cell>
          <cell r="AE526" t="str">
            <v>Office</v>
          </cell>
          <cell r="AJ526" t="str">
            <v>Other</v>
          </cell>
          <cell r="AP526" t="str">
            <v>Total</v>
          </cell>
          <cell r="BF526" t="str">
            <v>Nhà cửa,</v>
          </cell>
          <cell r="BL526" t="str">
            <v>Máy móc</v>
          </cell>
          <cell r="BR526" t="str">
            <v>Phương tiện</v>
          </cell>
          <cell r="BX526" t="str">
            <v>Thiết bị,</v>
          </cell>
          <cell r="CC526" t="str">
            <v>TSCĐ</v>
          </cell>
          <cell r="CI526" t="str">
            <v>Tổng</v>
          </cell>
          <cell r="CW526" t="str">
            <v>Buildings &amp;</v>
          </cell>
          <cell r="DC526" t="str">
            <v>Machinery</v>
          </cell>
          <cell r="DI526" t="str">
            <v>Means of</v>
          </cell>
          <cell r="DO526" t="str">
            <v>Office</v>
          </cell>
          <cell r="DT526" t="str">
            <v>Other</v>
          </cell>
          <cell r="DZ526" t="str">
            <v>Total</v>
          </cell>
          <cell r="EM526" t="str">
            <v>Nhà cửa,</v>
          </cell>
          <cell r="ES526" t="str">
            <v>Máy móc</v>
          </cell>
          <cell r="EY526" t="str">
            <v>Phương tiện</v>
          </cell>
          <cell r="FE526" t="str">
            <v>Thiết bị,</v>
          </cell>
          <cell r="FJ526" t="str">
            <v>TSCĐ</v>
          </cell>
          <cell r="FP526" t="str">
            <v>Tổng</v>
          </cell>
        </row>
        <row r="527">
          <cell r="M527" t="str">
            <v>structures</v>
          </cell>
          <cell r="S527" t="str">
            <v>&amp; equipment</v>
          </cell>
          <cell r="Y527" t="str">
            <v>transportation</v>
          </cell>
          <cell r="AE527" t="str">
            <v>equipment</v>
          </cell>
          <cell r="AJ527" t="str">
            <v xml:space="preserve"> tangible</v>
          </cell>
          <cell r="BF527" t="str">
            <v>vật kiến trúc</v>
          </cell>
          <cell r="BL527" t="str">
            <v>thiết bị</v>
          </cell>
          <cell r="BR527" t="str">
            <v>vận tải,</v>
          </cell>
          <cell r="BX527" t="str">
            <v>dụng cụ</v>
          </cell>
          <cell r="CC527" t="str">
            <v>hữu hình</v>
          </cell>
          <cell r="CW527" t="str">
            <v>structures</v>
          </cell>
          <cell r="DC527" t="str">
            <v>&amp; equipment</v>
          </cell>
          <cell r="DI527" t="str">
            <v>transportation</v>
          </cell>
          <cell r="DO527" t="str">
            <v>equipment</v>
          </cell>
          <cell r="DT527" t="str">
            <v xml:space="preserve"> tangible</v>
          </cell>
          <cell r="EM527" t="str">
            <v>vật kiến trúc</v>
          </cell>
          <cell r="ES527" t="str">
            <v>thiết bị</v>
          </cell>
          <cell r="EY527" t="str">
            <v>vận tải,</v>
          </cell>
          <cell r="FE527" t="str">
            <v>dụng cụ</v>
          </cell>
          <cell r="FJ527" t="str">
            <v>hữu hình</v>
          </cell>
        </row>
        <row r="528">
          <cell r="Y528" t="str">
            <v>&amp; transmission</v>
          </cell>
          <cell r="AJ528" t="str">
            <v>fixed assets</v>
          </cell>
          <cell r="BR528" t="str">
            <v>truyền dẫn</v>
          </cell>
          <cell r="BX528" t="str">
            <v>quản lý</v>
          </cell>
          <cell r="CC528" t="str">
            <v>khác</v>
          </cell>
          <cell r="CW528" t="str">
            <v/>
          </cell>
          <cell r="DC528" t="str">
            <v/>
          </cell>
          <cell r="DI528" t="str">
            <v>&amp; transmission</v>
          </cell>
          <cell r="DO528" t="str">
            <v/>
          </cell>
          <cell r="DT528" t="str">
            <v>fixed assets</v>
          </cell>
          <cell r="EM528" t="str">
            <v/>
          </cell>
          <cell r="ES528" t="str">
            <v/>
          </cell>
          <cell r="EY528" t="str">
            <v>truyền dẫn</v>
          </cell>
          <cell r="FE528" t="str">
            <v>quản lý</v>
          </cell>
          <cell r="FJ528" t="str">
            <v>khác</v>
          </cell>
        </row>
        <row r="530">
          <cell r="D530" t="str">
            <v>Historical cost</v>
          </cell>
          <cell r="AW530" t="str">
            <v>Nguyên giá</v>
          </cell>
          <cell r="CN530" t="str">
            <v>Historical cost</v>
          </cell>
          <cell r="ED530" t="str">
            <v>Nguyên giá</v>
          </cell>
        </row>
        <row r="531">
          <cell r="D531" t="str">
            <v>Beginning balance</v>
          </cell>
          <cell r="M531" t="str">
            <v>-</v>
          </cell>
          <cell r="S531" t="str">
            <v>-</v>
          </cell>
          <cell r="Y531" t="str">
            <v>-</v>
          </cell>
          <cell r="AE531" t="str">
            <v>-</v>
          </cell>
          <cell r="AJ531" t="str">
            <v>-</v>
          </cell>
          <cell r="AP531" t="str">
            <v>-</v>
          </cell>
          <cell r="AW531" t="str">
            <v>Số dư đầu năm</v>
          </cell>
          <cell r="BF531" t="str">
            <v>-</v>
          </cell>
          <cell r="BL531" t="str">
            <v>-</v>
          </cell>
          <cell r="BR531" t="str">
            <v>-</v>
          </cell>
          <cell r="BX531" t="str">
            <v>-</v>
          </cell>
          <cell r="CC531" t="str">
            <v>-</v>
          </cell>
          <cell r="CI531" t="str">
            <v>-</v>
          </cell>
          <cell r="CN531" t="str">
            <v>Beginning balance</v>
          </cell>
          <cell r="CW531" t="str">
            <v>-</v>
          </cell>
          <cell r="DC531" t="str">
            <v>-</v>
          </cell>
          <cell r="DI531" t="str">
            <v>-</v>
          </cell>
          <cell r="DO531" t="str">
            <v>-</v>
          </cell>
          <cell r="DT531" t="str">
            <v>-</v>
          </cell>
          <cell r="DZ531" t="str">
            <v>-</v>
          </cell>
          <cell r="ED531" t="str">
            <v xml:space="preserve">Số dư đầu năm </v>
          </cell>
          <cell r="EM531" t="str">
            <v>-</v>
          </cell>
          <cell r="ES531" t="str">
            <v>-</v>
          </cell>
          <cell r="EY531" t="str">
            <v>-</v>
          </cell>
          <cell r="FE531" t="str">
            <v>-</v>
          </cell>
          <cell r="FJ531" t="str">
            <v>-</v>
          </cell>
          <cell r="FP531" t="str">
            <v>-</v>
          </cell>
        </row>
        <row r="532">
          <cell r="D532" t="str">
            <v>Financial lease</v>
          </cell>
          <cell r="M532" t="str">
            <v>-</v>
          </cell>
          <cell r="S532" t="str">
            <v>-</v>
          </cell>
          <cell r="Y532" t="str">
            <v>-</v>
          </cell>
          <cell r="AE532" t="str">
            <v>-</v>
          </cell>
          <cell r="AJ532" t="str">
            <v>-</v>
          </cell>
          <cell r="AP532" t="str">
            <v>-</v>
          </cell>
          <cell r="AW532" t="str">
            <v>Thuê tài chính trong năm</v>
          </cell>
          <cell r="BF532" t="str">
            <v>-</v>
          </cell>
          <cell r="BL532" t="str">
            <v>-</v>
          </cell>
          <cell r="BR532" t="str">
            <v>-</v>
          </cell>
          <cell r="BX532" t="str">
            <v>-</v>
          </cell>
          <cell r="CC532" t="str">
            <v>-</v>
          </cell>
          <cell r="CI532" t="str">
            <v>-</v>
          </cell>
          <cell r="CN532" t="str">
            <v>Financial lease</v>
          </cell>
          <cell r="CW532" t="str">
            <v>-</v>
          </cell>
          <cell r="DC532" t="str">
            <v>-</v>
          </cell>
          <cell r="DI532" t="str">
            <v>-</v>
          </cell>
          <cell r="DO532" t="str">
            <v>-</v>
          </cell>
          <cell r="DT532" t="str">
            <v>-</v>
          </cell>
          <cell r="DZ532" t="str">
            <v>-</v>
          </cell>
          <cell r="ED532" t="str">
            <v>Thuê tài chính trong năm</v>
          </cell>
          <cell r="EM532" t="str">
            <v>-</v>
          </cell>
          <cell r="ES532" t="str">
            <v>-</v>
          </cell>
          <cell r="EY532" t="str">
            <v>-</v>
          </cell>
          <cell r="FE532" t="str">
            <v>-</v>
          </cell>
          <cell r="FJ532" t="str">
            <v>-</v>
          </cell>
          <cell r="FP532" t="str">
            <v>-</v>
          </cell>
        </row>
        <row r="533">
          <cell r="D533" t="str">
            <v>Financial leased assets</v>
          </cell>
          <cell r="M533" t="str">
            <v>-</v>
          </cell>
          <cell r="S533" t="str">
            <v>-</v>
          </cell>
          <cell r="Y533" t="str">
            <v>-</v>
          </cell>
          <cell r="AE533" t="str">
            <v>-</v>
          </cell>
          <cell r="AJ533" t="str">
            <v>-</v>
          </cell>
          <cell r="AP533" t="str">
            <v>-</v>
          </cell>
          <cell r="AW533" t="str">
            <v>Mua lại TSCĐ</v>
          </cell>
          <cell r="BF533" t="str">
            <v>-</v>
          </cell>
          <cell r="BL533" t="str">
            <v>-</v>
          </cell>
          <cell r="BR533" t="str">
            <v>-</v>
          </cell>
          <cell r="BX533" t="str">
            <v>-</v>
          </cell>
          <cell r="CC533" t="str">
            <v>-</v>
          </cell>
          <cell r="CI533" t="str">
            <v>-</v>
          </cell>
          <cell r="CN533" t="str">
            <v>Financial leased assets</v>
          </cell>
          <cell r="CW533" t="str">
            <v>-</v>
          </cell>
          <cell r="DC533" t="str">
            <v>-</v>
          </cell>
          <cell r="DI533" t="str">
            <v>-</v>
          </cell>
          <cell r="DO533" t="str">
            <v>-</v>
          </cell>
          <cell r="DT533" t="str">
            <v>-</v>
          </cell>
          <cell r="DZ533" t="str">
            <v>-</v>
          </cell>
          <cell r="ED533" t="str">
            <v>Mua lại TSCĐ</v>
          </cell>
          <cell r="EM533" t="str">
            <v>-</v>
          </cell>
          <cell r="ES533" t="str">
            <v>-</v>
          </cell>
          <cell r="EY533" t="str">
            <v>-</v>
          </cell>
          <cell r="FE533" t="str">
            <v>-</v>
          </cell>
          <cell r="FJ533" t="str">
            <v>-</v>
          </cell>
          <cell r="FP533" t="str">
            <v>-</v>
          </cell>
        </row>
        <row r="534">
          <cell r="D534" t="str">
            <v>bought back</v>
          </cell>
          <cell r="AW534" t="str">
            <v>thuê tài chính</v>
          </cell>
          <cell r="CN534" t="str">
            <v>bought back</v>
          </cell>
          <cell r="ED534" t="str">
            <v>thuê tài chính</v>
          </cell>
        </row>
        <row r="535">
          <cell r="D535" t="str">
            <v>Other increases</v>
          </cell>
          <cell r="M535" t="str">
            <v>-</v>
          </cell>
          <cell r="S535" t="str">
            <v>-</v>
          </cell>
          <cell r="Y535" t="str">
            <v>-</v>
          </cell>
          <cell r="AE535" t="str">
            <v>-</v>
          </cell>
          <cell r="AJ535" t="str">
            <v>-</v>
          </cell>
          <cell r="AP535" t="str">
            <v>-</v>
          </cell>
          <cell r="AW535" t="str">
            <v>Tăng khác</v>
          </cell>
          <cell r="BF535" t="str">
            <v>-</v>
          </cell>
          <cell r="BL535" t="str">
            <v>-</v>
          </cell>
          <cell r="BR535" t="str">
            <v>-</v>
          </cell>
          <cell r="BX535" t="str">
            <v>-</v>
          </cell>
          <cell r="CC535" t="str">
            <v>-</v>
          </cell>
          <cell r="CI535" t="str">
            <v>-</v>
          </cell>
          <cell r="CN535" t="str">
            <v>Other increases</v>
          </cell>
          <cell r="CW535" t="str">
            <v>-</v>
          </cell>
          <cell r="DC535" t="str">
            <v>-</v>
          </cell>
          <cell r="DI535" t="str">
            <v>-</v>
          </cell>
          <cell r="DO535" t="str">
            <v>-</v>
          </cell>
          <cell r="DT535" t="str">
            <v>-</v>
          </cell>
          <cell r="DZ535" t="str">
            <v>-</v>
          </cell>
          <cell r="ED535" t="str">
            <v>Tăng khác</v>
          </cell>
          <cell r="EM535" t="str">
            <v>-</v>
          </cell>
          <cell r="ES535" t="str">
            <v>-</v>
          </cell>
          <cell r="EY535" t="str">
            <v>-</v>
          </cell>
          <cell r="FE535" t="str">
            <v>-</v>
          </cell>
          <cell r="FJ535" t="str">
            <v>-</v>
          </cell>
          <cell r="FP535" t="str">
            <v>-</v>
          </cell>
        </row>
        <row r="536">
          <cell r="D536" t="str">
            <v>Financial leased assets</v>
          </cell>
          <cell r="M536" t="str">
            <v>-</v>
          </cell>
          <cell r="S536" t="str">
            <v>-</v>
          </cell>
          <cell r="Y536" t="str">
            <v>-</v>
          </cell>
          <cell r="AE536" t="str">
            <v>-</v>
          </cell>
          <cell r="AJ536" t="str">
            <v>-</v>
          </cell>
          <cell r="AP536" t="str">
            <v>-</v>
          </cell>
          <cell r="AW536" t="str">
            <v>Trả lại TSCĐ</v>
          </cell>
          <cell r="BF536" t="str">
            <v>-</v>
          </cell>
          <cell r="BL536" t="str">
            <v>-</v>
          </cell>
          <cell r="BR536" t="str">
            <v>-</v>
          </cell>
          <cell r="BX536" t="str">
            <v>-</v>
          </cell>
          <cell r="CC536" t="str">
            <v>-</v>
          </cell>
          <cell r="CI536" t="str">
            <v>-</v>
          </cell>
          <cell r="CN536" t="str">
            <v>Financial leased assets</v>
          </cell>
          <cell r="CW536" t="str">
            <v>-</v>
          </cell>
          <cell r="DC536" t="str">
            <v>-</v>
          </cell>
          <cell r="DI536" t="str">
            <v>-</v>
          </cell>
          <cell r="DO536" t="str">
            <v>-</v>
          </cell>
          <cell r="DT536" t="str">
            <v>-</v>
          </cell>
          <cell r="DZ536" t="str">
            <v>-</v>
          </cell>
          <cell r="ED536" t="str">
            <v>Trả lại TSCĐ</v>
          </cell>
          <cell r="EM536" t="str">
            <v>-</v>
          </cell>
          <cell r="ES536" t="str">
            <v>-</v>
          </cell>
          <cell r="EY536" t="str">
            <v>-</v>
          </cell>
          <cell r="FE536" t="str">
            <v>-</v>
          </cell>
          <cell r="FJ536" t="str">
            <v>-</v>
          </cell>
          <cell r="FP536" t="str">
            <v>-</v>
          </cell>
        </row>
        <row r="537">
          <cell r="D537" t="str">
            <v>returned</v>
          </cell>
          <cell r="AW537" t="str">
            <v>thuê tài chính</v>
          </cell>
          <cell r="CN537" t="str">
            <v>returned</v>
          </cell>
          <cell r="ED537" t="str">
            <v>thuê tài chính</v>
          </cell>
        </row>
        <row r="538">
          <cell r="D538" t="str">
            <v>Other decreases</v>
          </cell>
          <cell r="M538" t="str">
            <v>-</v>
          </cell>
          <cell r="S538" t="str">
            <v>-</v>
          </cell>
          <cell r="Y538" t="str">
            <v>-</v>
          </cell>
          <cell r="AE538" t="str">
            <v>-</v>
          </cell>
          <cell r="AJ538" t="str">
            <v>-</v>
          </cell>
          <cell r="AP538" t="str">
            <v>-</v>
          </cell>
          <cell r="AW538" t="str">
            <v>Giảm khác</v>
          </cell>
          <cell r="BF538" t="str">
            <v>-</v>
          </cell>
          <cell r="BL538" t="str">
            <v>-</v>
          </cell>
          <cell r="BR538" t="str">
            <v>-</v>
          </cell>
          <cell r="BX538" t="str">
            <v>-</v>
          </cell>
          <cell r="CC538" t="str">
            <v>-</v>
          </cell>
          <cell r="CI538" t="str">
            <v>-</v>
          </cell>
          <cell r="CN538" t="str">
            <v>Other decreases</v>
          </cell>
          <cell r="CW538" t="str">
            <v>-</v>
          </cell>
          <cell r="DC538" t="str">
            <v>-</v>
          </cell>
          <cell r="DI538" t="str">
            <v>-</v>
          </cell>
          <cell r="DO538" t="str">
            <v>-</v>
          </cell>
          <cell r="DT538" t="str">
            <v>-</v>
          </cell>
          <cell r="DZ538" t="str">
            <v>-</v>
          </cell>
          <cell r="ED538" t="str">
            <v>Giảm khác</v>
          </cell>
          <cell r="EM538" t="str">
            <v>-</v>
          </cell>
          <cell r="ES538" t="str">
            <v>-</v>
          </cell>
          <cell r="EY538" t="str">
            <v>-</v>
          </cell>
          <cell r="FE538" t="str">
            <v>-</v>
          </cell>
          <cell r="FJ538" t="str">
            <v>-</v>
          </cell>
          <cell r="FP538" t="str">
            <v>-</v>
          </cell>
        </row>
        <row r="539">
          <cell r="CN539" t="str">
            <v>FX difference (*)</v>
          </cell>
          <cell r="CW539" t="str">
            <v>-</v>
          </cell>
          <cell r="DC539" t="str">
            <v>-</v>
          </cell>
          <cell r="DI539" t="str">
            <v>-</v>
          </cell>
          <cell r="DO539" t="str">
            <v>-</v>
          </cell>
          <cell r="DT539" t="str">
            <v>-</v>
          </cell>
          <cell r="DZ539" t="str">
            <v>-</v>
          </cell>
          <cell r="ED539" t="str">
            <v>CLTG (*)</v>
          </cell>
          <cell r="EM539" t="str">
            <v>-</v>
          </cell>
          <cell r="ES539" t="str">
            <v>-</v>
          </cell>
          <cell r="EY539" t="str">
            <v>-</v>
          </cell>
          <cell r="FE539" t="str">
            <v>-</v>
          </cell>
          <cell r="FJ539" t="str">
            <v>-</v>
          </cell>
          <cell r="FP539" t="str">
            <v>-</v>
          </cell>
        </row>
        <row r="540">
          <cell r="D540" t="str">
            <v>Ending balance</v>
          </cell>
          <cell r="M540" t="str">
            <v>-</v>
          </cell>
          <cell r="S540" t="str">
            <v>-</v>
          </cell>
          <cell r="Y540" t="str">
            <v>-</v>
          </cell>
          <cell r="AE540" t="str">
            <v>-</v>
          </cell>
          <cell r="AJ540" t="str">
            <v>-</v>
          </cell>
          <cell r="AP540" t="str">
            <v>-</v>
          </cell>
          <cell r="AW540" t="str">
            <v>Số dư cuối năm</v>
          </cell>
          <cell r="BF540" t="str">
            <v>-</v>
          </cell>
          <cell r="BL540" t="str">
            <v>-</v>
          </cell>
          <cell r="BR540" t="str">
            <v>-</v>
          </cell>
          <cell r="BX540" t="str">
            <v>-</v>
          </cell>
          <cell r="CC540" t="str">
            <v>-</v>
          </cell>
          <cell r="CI540" t="str">
            <v>-</v>
          </cell>
          <cell r="CN540" t="str">
            <v>Ending balance</v>
          </cell>
          <cell r="CW540" t="str">
            <v>-</v>
          </cell>
          <cell r="DC540" t="str">
            <v>-</v>
          </cell>
          <cell r="DI540" t="str">
            <v>-</v>
          </cell>
          <cell r="DO540" t="str">
            <v>-</v>
          </cell>
          <cell r="DT540" t="str">
            <v>-</v>
          </cell>
          <cell r="DZ540" t="str">
            <v>-</v>
          </cell>
          <cell r="ED540" t="str">
            <v>Số dư cuối năm</v>
          </cell>
          <cell r="EM540" t="str">
            <v>-</v>
          </cell>
          <cell r="ES540" t="str">
            <v>-</v>
          </cell>
          <cell r="EY540" t="str">
            <v>-</v>
          </cell>
          <cell r="FE540" t="str">
            <v>-</v>
          </cell>
          <cell r="FJ540" t="str">
            <v>-</v>
          </cell>
          <cell r="FP540" t="str">
            <v>-</v>
          </cell>
        </row>
        <row r="542">
          <cell r="D542" t="str">
            <v>Accumulated depreciation</v>
          </cell>
          <cell r="AW542" t="str">
            <v>Giá trị hao mòn lũy kế</v>
          </cell>
          <cell r="CN542" t="str">
            <v>Accumulated depreciation</v>
          </cell>
          <cell r="ED542" t="str">
            <v>Giá trị hao mòn lũy kế</v>
          </cell>
        </row>
        <row r="543">
          <cell r="D543" t="str">
            <v>Beginning balance</v>
          </cell>
          <cell r="M543" t="str">
            <v>-</v>
          </cell>
          <cell r="S543" t="str">
            <v>-</v>
          </cell>
          <cell r="Y543" t="str">
            <v>-</v>
          </cell>
          <cell r="AE543" t="str">
            <v>-</v>
          </cell>
          <cell r="AJ543" t="str">
            <v>-</v>
          </cell>
          <cell r="AP543" t="str">
            <v>-</v>
          </cell>
          <cell r="AW543" t="str">
            <v xml:space="preserve">Số dư đầu năm </v>
          </cell>
          <cell r="BF543" t="str">
            <v>-</v>
          </cell>
          <cell r="BL543" t="str">
            <v>-</v>
          </cell>
          <cell r="BR543" t="str">
            <v>-</v>
          </cell>
          <cell r="BX543" t="str">
            <v>-</v>
          </cell>
          <cell r="CC543" t="str">
            <v>-</v>
          </cell>
          <cell r="CI543" t="str">
            <v>-</v>
          </cell>
          <cell r="CN543" t="str">
            <v>Beginning balance</v>
          </cell>
          <cell r="CW543" t="str">
            <v>-</v>
          </cell>
          <cell r="DC543" t="str">
            <v>-</v>
          </cell>
          <cell r="DI543" t="str">
            <v>-</v>
          </cell>
          <cell r="DO543" t="str">
            <v>-</v>
          </cell>
          <cell r="DT543" t="str">
            <v>-</v>
          </cell>
          <cell r="DZ543" t="str">
            <v>-</v>
          </cell>
          <cell r="ED543" t="str">
            <v xml:space="preserve">Số dư đầu năm </v>
          </cell>
          <cell r="EM543" t="str">
            <v>-</v>
          </cell>
          <cell r="ES543" t="str">
            <v>-</v>
          </cell>
          <cell r="EY543" t="str">
            <v>-</v>
          </cell>
          <cell r="FE543" t="str">
            <v>-</v>
          </cell>
          <cell r="FJ543" t="str">
            <v>-</v>
          </cell>
          <cell r="FP543" t="str">
            <v>-</v>
          </cell>
        </row>
        <row r="544">
          <cell r="D544" t="str">
            <v>Depreciation</v>
          </cell>
          <cell r="M544" t="str">
            <v>-</v>
          </cell>
          <cell r="S544" t="str">
            <v>-</v>
          </cell>
          <cell r="Y544" t="str">
            <v>-</v>
          </cell>
          <cell r="AE544" t="str">
            <v>-</v>
          </cell>
          <cell r="AJ544" t="str">
            <v>-</v>
          </cell>
          <cell r="AP544" t="str">
            <v>-</v>
          </cell>
          <cell r="AW544" t="str">
            <v>Khấu hao</v>
          </cell>
          <cell r="BF544" t="str">
            <v>-</v>
          </cell>
          <cell r="BL544" t="str">
            <v>-</v>
          </cell>
          <cell r="BR544" t="str">
            <v>-</v>
          </cell>
          <cell r="BX544" t="str">
            <v>-</v>
          </cell>
          <cell r="CC544" t="str">
            <v>-</v>
          </cell>
          <cell r="CI544" t="str">
            <v>-</v>
          </cell>
          <cell r="CN544" t="str">
            <v>Depreciation</v>
          </cell>
          <cell r="CW544" t="str">
            <v>-</v>
          </cell>
          <cell r="DC544" t="str">
            <v>-</v>
          </cell>
          <cell r="DI544" t="str">
            <v>-</v>
          </cell>
          <cell r="DO544" t="str">
            <v>-</v>
          </cell>
          <cell r="DT544" t="str">
            <v>-</v>
          </cell>
          <cell r="DZ544" t="str">
            <v>-</v>
          </cell>
          <cell r="ED544" t="str">
            <v>Khấu hao</v>
          </cell>
          <cell r="EM544" t="str">
            <v>-</v>
          </cell>
          <cell r="ES544" t="str">
            <v>-</v>
          </cell>
          <cell r="EY544" t="str">
            <v>-</v>
          </cell>
          <cell r="FE544" t="str">
            <v>-</v>
          </cell>
          <cell r="FJ544" t="str">
            <v>-</v>
          </cell>
          <cell r="FP544" t="str">
            <v>-</v>
          </cell>
        </row>
        <row r="545">
          <cell r="D545" t="str">
            <v>Financial leased assets</v>
          </cell>
          <cell r="M545" t="str">
            <v>-</v>
          </cell>
          <cell r="S545" t="str">
            <v>-</v>
          </cell>
          <cell r="Y545" t="str">
            <v>-</v>
          </cell>
          <cell r="AE545" t="str">
            <v>-</v>
          </cell>
          <cell r="AJ545" t="str">
            <v>-</v>
          </cell>
          <cell r="AP545" t="str">
            <v>-</v>
          </cell>
          <cell r="AW545" t="str">
            <v>Mua lại TSCĐ</v>
          </cell>
          <cell r="BF545" t="str">
            <v>-</v>
          </cell>
          <cell r="BL545" t="str">
            <v>-</v>
          </cell>
          <cell r="BR545" t="str">
            <v>-</v>
          </cell>
          <cell r="BX545" t="str">
            <v>-</v>
          </cell>
          <cell r="CC545" t="str">
            <v>-</v>
          </cell>
          <cell r="CI545" t="str">
            <v>-</v>
          </cell>
          <cell r="CN545" t="str">
            <v>Financial leased assets</v>
          </cell>
          <cell r="CW545" t="str">
            <v>-</v>
          </cell>
          <cell r="DC545" t="str">
            <v>-</v>
          </cell>
          <cell r="DI545" t="str">
            <v>-</v>
          </cell>
          <cell r="DO545" t="str">
            <v>-</v>
          </cell>
          <cell r="DT545" t="str">
            <v>-</v>
          </cell>
          <cell r="DZ545" t="str">
            <v>-</v>
          </cell>
          <cell r="ED545" t="str">
            <v>Mua lại TSCĐ</v>
          </cell>
          <cell r="EM545" t="str">
            <v>-</v>
          </cell>
          <cell r="ES545" t="str">
            <v>-</v>
          </cell>
          <cell r="EY545" t="str">
            <v>-</v>
          </cell>
          <cell r="FE545" t="str">
            <v>-</v>
          </cell>
          <cell r="FJ545" t="str">
            <v>-</v>
          </cell>
          <cell r="FP545" t="str">
            <v>-</v>
          </cell>
        </row>
        <row r="546">
          <cell r="D546" t="str">
            <v>bought back</v>
          </cell>
          <cell r="AW546" t="str">
            <v>thuê tài chính</v>
          </cell>
          <cell r="CN546" t="str">
            <v>bought back</v>
          </cell>
          <cell r="ED546" t="str">
            <v>thuê tài chính</v>
          </cell>
        </row>
        <row r="547">
          <cell r="D547" t="str">
            <v>Other increases</v>
          </cell>
          <cell r="M547" t="str">
            <v>-</v>
          </cell>
          <cell r="S547" t="str">
            <v>-</v>
          </cell>
          <cell r="Y547" t="str">
            <v>-</v>
          </cell>
          <cell r="AE547" t="str">
            <v>-</v>
          </cell>
          <cell r="AJ547" t="str">
            <v>-</v>
          </cell>
          <cell r="AP547" t="str">
            <v>-</v>
          </cell>
          <cell r="AW547" t="str">
            <v>Tăng khác</v>
          </cell>
          <cell r="BF547" t="str">
            <v>-</v>
          </cell>
          <cell r="BL547" t="str">
            <v>-</v>
          </cell>
          <cell r="BR547" t="str">
            <v>-</v>
          </cell>
          <cell r="BX547" t="str">
            <v>-</v>
          </cell>
          <cell r="CC547" t="str">
            <v>-</v>
          </cell>
          <cell r="CI547" t="str">
            <v>-</v>
          </cell>
          <cell r="CN547" t="str">
            <v>Other increases</v>
          </cell>
          <cell r="CW547" t="str">
            <v>-</v>
          </cell>
          <cell r="DC547" t="str">
            <v>-</v>
          </cell>
          <cell r="DI547" t="str">
            <v>-</v>
          </cell>
          <cell r="DO547" t="str">
            <v>-</v>
          </cell>
          <cell r="DT547" t="str">
            <v>-</v>
          </cell>
          <cell r="DZ547" t="str">
            <v>-</v>
          </cell>
          <cell r="ED547" t="str">
            <v>Tăng khác</v>
          </cell>
          <cell r="EM547" t="str">
            <v>-</v>
          </cell>
          <cell r="ES547" t="str">
            <v>-</v>
          </cell>
          <cell r="EY547" t="str">
            <v>-</v>
          </cell>
          <cell r="FE547" t="str">
            <v>-</v>
          </cell>
          <cell r="FJ547" t="str">
            <v>-</v>
          </cell>
          <cell r="FP547" t="str">
            <v>-</v>
          </cell>
        </row>
        <row r="548">
          <cell r="D548" t="str">
            <v>Financial leased assets</v>
          </cell>
          <cell r="M548" t="str">
            <v>-</v>
          </cell>
          <cell r="S548" t="str">
            <v>-</v>
          </cell>
          <cell r="Y548" t="str">
            <v>-</v>
          </cell>
          <cell r="AE548" t="str">
            <v>-</v>
          </cell>
          <cell r="AJ548" t="str">
            <v>-</v>
          </cell>
          <cell r="AP548" t="str">
            <v>-</v>
          </cell>
          <cell r="AW548" t="str">
            <v xml:space="preserve">Trả lại TSCĐ </v>
          </cell>
          <cell r="BF548" t="str">
            <v>-</v>
          </cell>
          <cell r="BL548" t="str">
            <v>-</v>
          </cell>
          <cell r="BR548" t="str">
            <v>-</v>
          </cell>
          <cell r="BX548" t="str">
            <v>-</v>
          </cell>
          <cell r="CC548" t="str">
            <v>-</v>
          </cell>
          <cell r="CI548" t="str">
            <v>-</v>
          </cell>
          <cell r="CN548" t="str">
            <v>Financial leased assets</v>
          </cell>
          <cell r="CW548" t="str">
            <v>-</v>
          </cell>
          <cell r="DC548" t="str">
            <v>-</v>
          </cell>
          <cell r="DI548" t="str">
            <v>-</v>
          </cell>
          <cell r="DO548" t="str">
            <v>-</v>
          </cell>
          <cell r="DT548" t="str">
            <v>-</v>
          </cell>
          <cell r="DZ548" t="str">
            <v>-</v>
          </cell>
          <cell r="ED548" t="str">
            <v xml:space="preserve">Trả lại TSCĐ </v>
          </cell>
          <cell r="EM548" t="str">
            <v>-</v>
          </cell>
          <cell r="ES548" t="str">
            <v>-</v>
          </cell>
          <cell r="EY548" t="str">
            <v>-</v>
          </cell>
          <cell r="FE548" t="str">
            <v>-</v>
          </cell>
          <cell r="FJ548" t="str">
            <v>-</v>
          </cell>
          <cell r="FP548" t="str">
            <v>-</v>
          </cell>
        </row>
        <row r="549">
          <cell r="D549" t="str">
            <v>returned</v>
          </cell>
          <cell r="AW549" t="str">
            <v>thuê tài chính</v>
          </cell>
          <cell r="CN549" t="str">
            <v>returned</v>
          </cell>
          <cell r="ED549" t="str">
            <v>thuê tài chính</v>
          </cell>
        </row>
        <row r="550">
          <cell r="D550" t="str">
            <v>Other decreases</v>
          </cell>
          <cell r="M550" t="str">
            <v>-</v>
          </cell>
          <cell r="S550" t="str">
            <v>-</v>
          </cell>
          <cell r="Y550" t="str">
            <v>-</v>
          </cell>
          <cell r="AE550" t="str">
            <v>-</v>
          </cell>
          <cell r="AJ550" t="str">
            <v>-</v>
          </cell>
          <cell r="AP550" t="str">
            <v>-</v>
          </cell>
          <cell r="AW550" t="str">
            <v>Giảm khác</v>
          </cell>
          <cell r="BF550" t="str">
            <v>-</v>
          </cell>
          <cell r="BL550" t="str">
            <v>-</v>
          </cell>
          <cell r="BR550" t="str">
            <v>-</v>
          </cell>
          <cell r="BX550" t="str">
            <v>-</v>
          </cell>
          <cell r="CC550" t="str">
            <v>-</v>
          </cell>
          <cell r="CI550" t="str">
            <v>-</v>
          </cell>
          <cell r="CN550" t="str">
            <v>Other decreases</v>
          </cell>
          <cell r="CW550" t="str">
            <v>-</v>
          </cell>
          <cell r="DC550" t="str">
            <v>-</v>
          </cell>
          <cell r="DI550" t="str">
            <v>-</v>
          </cell>
          <cell r="DO550" t="str">
            <v>-</v>
          </cell>
          <cell r="DT550" t="str">
            <v>-</v>
          </cell>
          <cell r="DZ550" t="str">
            <v>-</v>
          </cell>
          <cell r="ED550" t="str">
            <v>Giảm khác</v>
          </cell>
          <cell r="EM550" t="str">
            <v>-</v>
          </cell>
          <cell r="ES550" t="str">
            <v>-</v>
          </cell>
          <cell r="EY550" t="str">
            <v>-</v>
          </cell>
          <cell r="FE550" t="str">
            <v>-</v>
          </cell>
          <cell r="FJ550" t="str">
            <v>-</v>
          </cell>
          <cell r="FP550" t="str">
            <v>-</v>
          </cell>
        </row>
        <row r="551">
          <cell r="CN551" t="str">
            <v>FX difference (*)</v>
          </cell>
          <cell r="CW551" t="str">
            <v>-</v>
          </cell>
          <cell r="DC551" t="str">
            <v>-</v>
          </cell>
          <cell r="DI551" t="str">
            <v>-</v>
          </cell>
          <cell r="DO551" t="str">
            <v>-</v>
          </cell>
          <cell r="DT551" t="str">
            <v>-</v>
          </cell>
          <cell r="DZ551" t="str">
            <v>-</v>
          </cell>
          <cell r="ED551" t="str">
            <v>CLTG (*)</v>
          </cell>
          <cell r="EM551" t="str">
            <v>-</v>
          </cell>
          <cell r="ES551" t="str">
            <v>-</v>
          </cell>
          <cell r="EY551" t="str">
            <v>-</v>
          </cell>
          <cell r="FE551" t="str">
            <v>-</v>
          </cell>
          <cell r="FJ551" t="str">
            <v>-</v>
          </cell>
          <cell r="FP551" t="str">
            <v>-</v>
          </cell>
        </row>
        <row r="552">
          <cell r="D552" t="str">
            <v>Ending balance</v>
          </cell>
          <cell r="M552" t="str">
            <v>-</v>
          </cell>
          <cell r="S552" t="str">
            <v>-</v>
          </cell>
          <cell r="Y552" t="str">
            <v>-</v>
          </cell>
          <cell r="AE552" t="str">
            <v>-</v>
          </cell>
          <cell r="AJ552" t="str">
            <v>-</v>
          </cell>
          <cell r="AP552" t="str">
            <v>-</v>
          </cell>
          <cell r="AW552" t="str">
            <v>Số dư cuối năm</v>
          </cell>
          <cell r="BF552" t="str">
            <v>-</v>
          </cell>
          <cell r="BL552" t="str">
            <v>-</v>
          </cell>
          <cell r="BR552" t="str">
            <v>-</v>
          </cell>
          <cell r="BX552" t="str">
            <v>-</v>
          </cell>
          <cell r="CC552" t="str">
            <v>-</v>
          </cell>
          <cell r="CI552" t="str">
            <v>-</v>
          </cell>
          <cell r="CN552" t="str">
            <v>Ending balance</v>
          </cell>
          <cell r="CW552" t="str">
            <v>-</v>
          </cell>
          <cell r="DC552" t="str">
            <v>-</v>
          </cell>
          <cell r="DI552" t="str">
            <v>-</v>
          </cell>
          <cell r="DO552" t="str">
            <v>-</v>
          </cell>
          <cell r="DT552" t="str">
            <v>-</v>
          </cell>
          <cell r="DZ552" t="str">
            <v>-</v>
          </cell>
          <cell r="ED552" t="str">
            <v>Số dư cuối năm</v>
          </cell>
          <cell r="EM552" t="str">
            <v>-</v>
          </cell>
          <cell r="ES552" t="str">
            <v>-</v>
          </cell>
          <cell r="EY552" t="str">
            <v>-</v>
          </cell>
          <cell r="FE552" t="str">
            <v>-</v>
          </cell>
          <cell r="FJ552" t="str">
            <v>-</v>
          </cell>
          <cell r="FP552" t="str">
            <v>-</v>
          </cell>
        </row>
        <row r="554">
          <cell r="D554" t="str">
            <v>Net book value</v>
          </cell>
          <cell r="AW554" t="str">
            <v>Giá trị còn lại</v>
          </cell>
          <cell r="CN554" t="str">
            <v>Net book value</v>
          </cell>
          <cell r="ED554" t="str">
            <v>Giá trị còn lại</v>
          </cell>
        </row>
        <row r="555">
          <cell r="D555" t="str">
            <v>Beginning balance</v>
          </cell>
          <cell r="M555" t="str">
            <v>-</v>
          </cell>
          <cell r="S555" t="str">
            <v>-</v>
          </cell>
          <cell r="Y555" t="str">
            <v>-</v>
          </cell>
          <cell r="AE555" t="str">
            <v>-</v>
          </cell>
          <cell r="AJ555" t="str">
            <v>-</v>
          </cell>
          <cell r="AP555" t="str">
            <v>-</v>
          </cell>
          <cell r="AW555" t="str">
            <v>Tại ngày đầu năm</v>
          </cell>
          <cell r="BF555" t="str">
            <v>-</v>
          </cell>
          <cell r="BL555" t="str">
            <v>-</v>
          </cell>
          <cell r="BR555" t="str">
            <v>-</v>
          </cell>
          <cell r="BX555" t="str">
            <v>-</v>
          </cell>
          <cell r="CC555" t="str">
            <v>-</v>
          </cell>
          <cell r="CI555" t="str">
            <v>-</v>
          </cell>
          <cell r="CN555" t="str">
            <v>Beginning balance</v>
          </cell>
          <cell r="CW555" t="str">
            <v>-</v>
          </cell>
          <cell r="DC555" t="str">
            <v>-</v>
          </cell>
          <cell r="DI555" t="str">
            <v>-</v>
          </cell>
          <cell r="DO555" t="str">
            <v>-</v>
          </cell>
          <cell r="DT555" t="str">
            <v>-</v>
          </cell>
          <cell r="DZ555" t="str">
            <v>-</v>
          </cell>
          <cell r="ED555" t="str">
            <v>Tại ngày đầu năm</v>
          </cell>
          <cell r="EM555" t="str">
            <v>-</v>
          </cell>
          <cell r="ES555" t="str">
            <v>-</v>
          </cell>
          <cell r="EY555" t="str">
            <v>-</v>
          </cell>
          <cell r="FE555" t="str">
            <v>-</v>
          </cell>
          <cell r="FJ555" t="str">
            <v>-</v>
          </cell>
          <cell r="FP555" t="str">
            <v>-</v>
          </cell>
        </row>
        <row r="556">
          <cell r="D556" t="str">
            <v>Ending balance</v>
          </cell>
          <cell r="M556" t="str">
            <v>-</v>
          </cell>
          <cell r="S556" t="str">
            <v>-</v>
          </cell>
          <cell r="Y556" t="str">
            <v>-</v>
          </cell>
          <cell r="AE556" t="str">
            <v>-</v>
          </cell>
          <cell r="AJ556" t="str">
            <v>-</v>
          </cell>
          <cell r="AP556" t="str">
            <v>-</v>
          </cell>
          <cell r="AW556" t="str">
            <v>Tại ngày cuối năm</v>
          </cell>
          <cell r="BF556" t="str">
            <v>-</v>
          </cell>
          <cell r="BL556" t="str">
            <v>-</v>
          </cell>
          <cell r="BR556" t="str">
            <v>-</v>
          </cell>
          <cell r="BX556" t="str">
            <v>-</v>
          </cell>
          <cell r="CC556" t="str">
            <v>-</v>
          </cell>
          <cell r="CI556" t="str">
            <v>-</v>
          </cell>
          <cell r="CN556" t="str">
            <v>Ending balance</v>
          </cell>
          <cell r="CW556" t="str">
            <v>-</v>
          </cell>
          <cell r="DC556" t="str">
            <v>-</v>
          </cell>
          <cell r="DI556" t="str">
            <v>-</v>
          </cell>
          <cell r="DO556" t="str">
            <v>-</v>
          </cell>
          <cell r="DT556" t="str">
            <v>-</v>
          </cell>
          <cell r="DZ556" t="str">
            <v>-</v>
          </cell>
          <cell r="ED556" t="str">
            <v>Tại ngày cuối năm</v>
          </cell>
          <cell r="EM556" t="str">
            <v>-</v>
          </cell>
          <cell r="ES556" t="str">
            <v>-</v>
          </cell>
          <cell r="EY556" t="str">
            <v>-</v>
          </cell>
          <cell r="FE556" t="str">
            <v>-</v>
          </cell>
          <cell r="FJ556" t="str">
            <v>-</v>
          </cell>
          <cell r="FP556" t="str">
            <v>-</v>
          </cell>
        </row>
        <row r="558">
          <cell r="D558" t="str">
            <v>In which:</v>
          </cell>
          <cell r="AW558" t="str">
            <v>Trong đó:</v>
          </cell>
          <cell r="CN558" t="str">
            <v>In which:</v>
          </cell>
          <cell r="ED558" t="str">
            <v>Trong đó:</v>
          </cell>
        </row>
        <row r="559">
          <cell r="D559" t="str">
            <v xml:space="preserve">Pledged/mortgaged </v>
          </cell>
          <cell r="M559" t="str">
            <v>-</v>
          </cell>
          <cell r="S559" t="str">
            <v>-</v>
          </cell>
          <cell r="Y559" t="str">
            <v>-</v>
          </cell>
          <cell r="AE559" t="str">
            <v>-</v>
          </cell>
          <cell r="AJ559" t="str">
            <v>-</v>
          </cell>
          <cell r="AP559" t="str">
            <v>-</v>
          </cell>
          <cell r="AW559" t="str">
            <v xml:space="preserve">Cầm cố / thế chấp </v>
          </cell>
          <cell r="BF559" t="str">
            <v>-</v>
          </cell>
          <cell r="BL559" t="str">
            <v>-</v>
          </cell>
          <cell r="BR559" t="str">
            <v>-</v>
          </cell>
          <cell r="BX559" t="str">
            <v>-</v>
          </cell>
          <cell r="CC559" t="str">
            <v>-</v>
          </cell>
          <cell r="CI559" t="str">
            <v>-</v>
          </cell>
          <cell r="CN559" t="str">
            <v xml:space="preserve">Pledged/mortgaged </v>
          </cell>
          <cell r="CW559" t="str">
            <v>-</v>
          </cell>
          <cell r="DC559" t="str">
            <v>-</v>
          </cell>
          <cell r="DI559" t="str">
            <v>-</v>
          </cell>
          <cell r="DO559" t="str">
            <v>-</v>
          </cell>
          <cell r="DT559" t="str">
            <v>-</v>
          </cell>
          <cell r="DZ559" t="str">
            <v>-</v>
          </cell>
          <cell r="ED559" t="str">
            <v xml:space="preserve">Cầm cố / thế chấp </v>
          </cell>
          <cell r="EM559" t="str">
            <v>-</v>
          </cell>
          <cell r="ES559" t="str">
            <v>-</v>
          </cell>
          <cell r="EY559" t="str">
            <v>-</v>
          </cell>
          <cell r="FE559" t="str">
            <v>-</v>
          </cell>
          <cell r="FJ559" t="str">
            <v>-</v>
          </cell>
          <cell r="FP559" t="str">
            <v>-</v>
          </cell>
        </row>
        <row r="560">
          <cell r="D560" t="str">
            <v>as loan security</v>
          </cell>
          <cell r="AW560" t="str">
            <v>bảo đảm tiền vay</v>
          </cell>
          <cell r="CN560" t="str">
            <v>as loan security</v>
          </cell>
          <cell r="ED560" t="str">
            <v>bảo đảm tiền vay</v>
          </cell>
        </row>
        <row r="561">
          <cell r="D561" t="str">
            <v>Temporarily unused</v>
          </cell>
          <cell r="M561" t="str">
            <v>-</v>
          </cell>
          <cell r="S561" t="str">
            <v>-</v>
          </cell>
          <cell r="Y561" t="str">
            <v>-</v>
          </cell>
          <cell r="AE561" t="str">
            <v>-</v>
          </cell>
          <cell r="AJ561" t="str">
            <v>-</v>
          </cell>
          <cell r="AP561" t="str">
            <v>-</v>
          </cell>
          <cell r="AW561" t="str">
            <v>Không sử dụng</v>
          </cell>
          <cell r="BF561" t="str">
            <v>-</v>
          </cell>
          <cell r="BL561" t="str">
            <v>-</v>
          </cell>
          <cell r="BR561" t="str">
            <v>-</v>
          </cell>
          <cell r="BX561" t="str">
            <v>-</v>
          </cell>
          <cell r="CC561" t="str">
            <v>-</v>
          </cell>
          <cell r="CI561" t="str">
            <v>-</v>
          </cell>
          <cell r="CN561" t="str">
            <v>Temporarily unused</v>
          </cell>
          <cell r="CW561" t="str">
            <v>-</v>
          </cell>
          <cell r="DC561" t="str">
            <v>-</v>
          </cell>
          <cell r="DI561" t="str">
            <v>-</v>
          </cell>
          <cell r="DO561" t="str">
            <v>-</v>
          </cell>
          <cell r="DT561" t="str">
            <v>-</v>
          </cell>
          <cell r="DZ561" t="str">
            <v>-</v>
          </cell>
          <cell r="ED561" t="str">
            <v>Không sử dụng</v>
          </cell>
          <cell r="EM561" t="str">
            <v>-</v>
          </cell>
          <cell r="ES561" t="str">
            <v>-</v>
          </cell>
          <cell r="EY561" t="str">
            <v>-</v>
          </cell>
          <cell r="FE561" t="str">
            <v>-</v>
          </cell>
          <cell r="FJ561" t="str">
            <v>-</v>
          </cell>
          <cell r="FP561" t="str">
            <v>-</v>
          </cell>
        </row>
        <row r="562">
          <cell r="D562" t="str">
            <v>Fully depreciated</v>
          </cell>
          <cell r="M562" t="str">
            <v>-</v>
          </cell>
          <cell r="S562" t="str">
            <v>-</v>
          </cell>
          <cell r="Y562" t="str">
            <v>-</v>
          </cell>
          <cell r="AE562" t="str">
            <v>-</v>
          </cell>
          <cell r="AJ562" t="str">
            <v>-</v>
          </cell>
          <cell r="AP562" t="str">
            <v>-</v>
          </cell>
          <cell r="AW562" t="str">
            <v>Đã khấu hao hết</v>
          </cell>
          <cell r="BF562" t="str">
            <v>-</v>
          </cell>
          <cell r="BL562" t="str">
            <v>-</v>
          </cell>
          <cell r="BR562" t="str">
            <v>-</v>
          </cell>
          <cell r="BX562" t="str">
            <v>-</v>
          </cell>
          <cell r="CC562" t="str">
            <v>-</v>
          </cell>
          <cell r="CI562" t="str">
            <v>-</v>
          </cell>
          <cell r="CN562" t="str">
            <v>Fully depreciated</v>
          </cell>
          <cell r="CW562" t="str">
            <v>-</v>
          </cell>
          <cell r="DC562" t="str">
            <v>-</v>
          </cell>
          <cell r="DI562" t="str">
            <v>-</v>
          </cell>
          <cell r="DO562" t="str">
            <v>-</v>
          </cell>
          <cell r="DT562" t="str">
            <v>-</v>
          </cell>
          <cell r="DZ562" t="str">
            <v>-</v>
          </cell>
          <cell r="ED562" t="str">
            <v>Đã khấu hao hết</v>
          </cell>
          <cell r="EM562" t="str">
            <v>-</v>
          </cell>
          <cell r="ES562" t="str">
            <v>-</v>
          </cell>
          <cell r="EY562" t="str">
            <v>-</v>
          </cell>
          <cell r="FE562" t="str">
            <v>-</v>
          </cell>
          <cell r="FJ562" t="str">
            <v>-</v>
          </cell>
          <cell r="FP562" t="str">
            <v>-</v>
          </cell>
        </row>
        <row r="563">
          <cell r="D563" t="str">
            <v>Awaiting disposal</v>
          </cell>
          <cell r="M563" t="str">
            <v>-</v>
          </cell>
          <cell r="S563" t="str">
            <v>-</v>
          </cell>
          <cell r="Y563" t="str">
            <v>-</v>
          </cell>
          <cell r="AE563" t="str">
            <v>-</v>
          </cell>
          <cell r="AJ563" t="str">
            <v>-</v>
          </cell>
          <cell r="AP563" t="str">
            <v>-</v>
          </cell>
          <cell r="AW563" t="str">
            <v>Chờ thanh lý</v>
          </cell>
          <cell r="BF563" t="str">
            <v>-</v>
          </cell>
          <cell r="BL563" t="str">
            <v>-</v>
          </cell>
          <cell r="BR563" t="str">
            <v>-</v>
          </cell>
          <cell r="BX563" t="str">
            <v>-</v>
          </cell>
          <cell r="CC563" t="str">
            <v>-</v>
          </cell>
          <cell r="CI563" t="str">
            <v>-</v>
          </cell>
          <cell r="CN563" t="str">
            <v>Awaiting disposal</v>
          </cell>
          <cell r="CW563" t="str">
            <v>-</v>
          </cell>
          <cell r="DC563" t="str">
            <v>-</v>
          </cell>
          <cell r="DI563" t="str">
            <v>-</v>
          </cell>
          <cell r="DO563" t="str">
            <v>-</v>
          </cell>
          <cell r="DT563" t="str">
            <v>-</v>
          </cell>
          <cell r="DZ563" t="str">
            <v>-</v>
          </cell>
          <cell r="ED563" t="str">
            <v>Chờ thanh lý</v>
          </cell>
          <cell r="EM563" t="str">
            <v>-</v>
          </cell>
          <cell r="ES563" t="str">
            <v>-</v>
          </cell>
          <cell r="EY563" t="str">
            <v>-</v>
          </cell>
          <cell r="FE563" t="str">
            <v>-</v>
          </cell>
          <cell r="FJ563" t="str">
            <v>-</v>
          </cell>
          <cell r="FP563" t="str">
            <v>-</v>
          </cell>
        </row>
        <row r="565">
          <cell r="CO565" t="str">
            <v>FX difference (*): derived from the difference between exchange rates applied to translate.</v>
          </cell>
          <cell r="EE565" t="str">
            <v>CLTG (*): phát sinh do sự khác nhau giữa các tỷ giá áp dụng để chuyển đổi.</v>
          </cell>
        </row>
        <row r="567">
          <cell r="D567" t="str">
            <v>.</v>
          </cell>
          <cell r="E567" t="str">
            <v>INTANGIBLE FIXED ASSETS</v>
          </cell>
          <cell r="AW567" t="str">
            <v>.</v>
          </cell>
          <cell r="AX567" t="str">
            <v>TÀI SẢN CỐ ĐỊNH VÔ HÌNH</v>
          </cell>
          <cell r="CN567" t="str">
            <v>.</v>
          </cell>
          <cell r="CO567" t="str">
            <v>INTANGIBLE FIXED ASSETS</v>
          </cell>
          <cell r="ED567" t="str">
            <v>.</v>
          </cell>
          <cell r="EE567" t="str">
            <v>TÀI SẢN CỐ ĐỊNH VÔ HÌNH</v>
          </cell>
        </row>
        <row r="568">
          <cell r="DZ568" t="str">
            <v>Unit: VND 1,000</v>
          </cell>
          <cell r="FP568" t="str">
            <v>Đơn vị: Nghìn VND</v>
          </cell>
        </row>
        <row r="569">
          <cell r="D569" t="str">
            <v xml:space="preserve">Input figures in sheet "FA", </v>
          </cell>
        </row>
        <row r="570">
          <cell r="D570" t="str">
            <v>Move columns in grey to proper positions</v>
          </cell>
        </row>
        <row r="571">
          <cell r="FP571" t="str">
            <v/>
          </cell>
        </row>
        <row r="572">
          <cell r="Q572" t="str">
            <v>Land use</v>
          </cell>
          <cell r="W572" t="str">
            <v>Copyright,</v>
          </cell>
          <cell r="AC572" t="str">
            <v>Trademarks</v>
          </cell>
          <cell r="AI572" t="str">
            <v>Computer</v>
          </cell>
          <cell r="AP572" t="str">
            <v>Total</v>
          </cell>
          <cell r="BJ572" t="str">
            <v>Quyền sử</v>
          </cell>
          <cell r="BP572" t="str">
            <v>Bản quyền,</v>
          </cell>
          <cell r="BV572" t="str">
            <v>Nhãn hiệu</v>
          </cell>
          <cell r="CB572" t="str">
            <v>Phần mềm</v>
          </cell>
          <cell r="CI572" t="str">
            <v>Tổng</v>
          </cell>
          <cell r="DA572" t="str">
            <v>Land use</v>
          </cell>
          <cell r="DG572" t="str">
            <v>Copyright,</v>
          </cell>
          <cell r="DM572" t="str">
            <v>Trademarks</v>
          </cell>
          <cell r="DS572" t="str">
            <v>Computer</v>
          </cell>
          <cell r="DZ572" t="str">
            <v>Total</v>
          </cell>
          <cell r="EQ572" t="str">
            <v>Quyền sử</v>
          </cell>
          <cell r="EW572" t="str">
            <v>Bản quyền,</v>
          </cell>
          <cell r="FC572" t="str">
            <v>Nhãn hiệu</v>
          </cell>
          <cell r="FI572" t="str">
            <v>Phần mềm</v>
          </cell>
          <cell r="FP572" t="str">
            <v>Tổng</v>
          </cell>
        </row>
        <row r="573">
          <cell r="Q573" t="str">
            <v>rights with</v>
          </cell>
          <cell r="W573" t="str">
            <v>patents</v>
          </cell>
          <cell r="AI573" t="str">
            <v>software</v>
          </cell>
          <cell r="BJ573" t="str">
            <v>dụng đất</v>
          </cell>
          <cell r="BP573" t="str">
            <v>bằng sáng chế</v>
          </cell>
          <cell r="BV573" t="str">
            <v>hàng hóa</v>
          </cell>
          <cell r="CB573" t="str">
            <v>máy tính</v>
          </cell>
          <cell r="DA573" t="str">
            <v>rights with</v>
          </cell>
          <cell r="DG573" t="str">
            <v>patents</v>
          </cell>
          <cell r="DM573" t="str">
            <v/>
          </cell>
          <cell r="DS573" t="str">
            <v>software</v>
          </cell>
          <cell r="EQ573" t="str">
            <v>dụng đất</v>
          </cell>
          <cell r="EW573" t="str">
            <v>bằng sáng chế</v>
          </cell>
          <cell r="FC573" t="str">
            <v>hàng hóa</v>
          </cell>
          <cell r="FI573" t="str">
            <v>máy tính</v>
          </cell>
        </row>
        <row r="574">
          <cell r="Q574" t="str">
            <v>definite term</v>
          </cell>
          <cell r="BJ574" t="str">
            <v>có thời hạn</v>
          </cell>
          <cell r="DA574" t="str">
            <v>definite term</v>
          </cell>
          <cell r="DG574" t="str">
            <v/>
          </cell>
          <cell r="DM574" t="str">
            <v/>
          </cell>
          <cell r="DS574" t="str">
            <v/>
          </cell>
          <cell r="EQ574" t="str">
            <v>có thời hạn</v>
          </cell>
          <cell r="EW574" t="str">
            <v/>
          </cell>
          <cell r="FC574" t="str">
            <v/>
          </cell>
          <cell r="FI574" t="str">
            <v/>
          </cell>
        </row>
        <row r="576">
          <cell r="E576" t="str">
            <v>Historical cost</v>
          </cell>
          <cell r="AX576" t="str">
            <v>Nguyên giá</v>
          </cell>
          <cell r="CO576" t="str">
            <v>Historical cost</v>
          </cell>
          <cell r="EE576" t="str">
            <v>Nguyên giá</v>
          </cell>
        </row>
        <row r="577">
          <cell r="E577" t="str">
            <v>Beginning balance</v>
          </cell>
          <cell r="Q577" t="str">
            <v>-</v>
          </cell>
          <cell r="W577" t="str">
            <v>-</v>
          </cell>
          <cell r="AC577" t="str">
            <v>-</v>
          </cell>
          <cell r="AI577" t="str">
            <v>-</v>
          </cell>
          <cell r="AP577" t="str">
            <v>-</v>
          </cell>
          <cell r="AX577" t="str">
            <v xml:space="preserve">Số dư đầu năm </v>
          </cell>
          <cell r="BJ577" t="str">
            <v>-</v>
          </cell>
          <cell r="BP577" t="str">
            <v>-</v>
          </cell>
          <cell r="BV577" t="str">
            <v>-</v>
          </cell>
          <cell r="CB577" t="str">
            <v>-</v>
          </cell>
          <cell r="CI577" t="str">
            <v>-</v>
          </cell>
          <cell r="CO577" t="str">
            <v>Beginning balance</v>
          </cell>
          <cell r="DA577" t="str">
            <v>-</v>
          </cell>
          <cell r="DG577" t="str">
            <v>-</v>
          </cell>
          <cell r="DM577" t="str">
            <v>-</v>
          </cell>
          <cell r="DS577" t="str">
            <v>-</v>
          </cell>
          <cell r="DZ577" t="str">
            <v>-</v>
          </cell>
          <cell r="EE577" t="str">
            <v xml:space="preserve">Số dư đầu năm </v>
          </cell>
          <cell r="EQ577" t="str">
            <v>-</v>
          </cell>
          <cell r="EW577" t="str">
            <v>-</v>
          </cell>
          <cell r="FC577" t="str">
            <v>-</v>
          </cell>
          <cell r="FI577" t="str">
            <v>-</v>
          </cell>
          <cell r="FP577" t="str">
            <v>-</v>
          </cell>
        </row>
        <row r="578">
          <cell r="E578" t="str">
            <v>New purchases</v>
          </cell>
          <cell r="Q578" t="str">
            <v>-</v>
          </cell>
          <cell r="W578" t="str">
            <v>-</v>
          </cell>
          <cell r="AC578" t="str">
            <v>-</v>
          </cell>
          <cell r="AI578" t="str">
            <v>-</v>
          </cell>
          <cell r="AP578" t="str">
            <v>-</v>
          </cell>
          <cell r="AX578" t="str">
            <v>Mua trong năm</v>
          </cell>
          <cell r="BJ578" t="str">
            <v>-</v>
          </cell>
          <cell r="BP578" t="str">
            <v>-</v>
          </cell>
          <cell r="BV578" t="str">
            <v>-</v>
          </cell>
          <cell r="CB578" t="str">
            <v>-</v>
          </cell>
          <cell r="CI578" t="str">
            <v>-</v>
          </cell>
          <cell r="CO578" t="str">
            <v>New purchases</v>
          </cell>
          <cell r="DA578" t="str">
            <v>-</v>
          </cell>
          <cell r="DG578" t="str">
            <v>-</v>
          </cell>
          <cell r="DM578" t="str">
            <v>-</v>
          </cell>
          <cell r="DS578" t="str">
            <v>-</v>
          </cell>
          <cell r="DZ578" t="str">
            <v>-</v>
          </cell>
          <cell r="EE578" t="str">
            <v>Mua trong năm</v>
          </cell>
          <cell r="EQ578" t="str">
            <v>-</v>
          </cell>
          <cell r="EW578" t="str">
            <v>-</v>
          </cell>
          <cell r="FC578" t="str">
            <v>-</v>
          </cell>
          <cell r="FI578" t="str">
            <v>-</v>
          </cell>
          <cell r="FP578" t="str">
            <v>-</v>
          </cell>
        </row>
        <row r="579">
          <cell r="E579" t="str">
            <v>Transferred from</v>
          </cell>
          <cell r="Q579" t="str">
            <v>-</v>
          </cell>
          <cell r="W579" t="str">
            <v>-</v>
          </cell>
          <cell r="AC579" t="str">
            <v>-</v>
          </cell>
          <cell r="AI579" t="str">
            <v>-</v>
          </cell>
          <cell r="AP579" t="str">
            <v>-</v>
          </cell>
          <cell r="AX579" t="str">
            <v>Đầu tư xây dựng</v>
          </cell>
          <cell r="BJ579" t="str">
            <v>-</v>
          </cell>
          <cell r="BP579" t="str">
            <v>-</v>
          </cell>
          <cell r="BV579" t="str">
            <v>-</v>
          </cell>
          <cell r="CB579" t="str">
            <v>-</v>
          </cell>
          <cell r="CI579" t="str">
            <v>-</v>
          </cell>
          <cell r="CO579" t="str">
            <v>Transferred from</v>
          </cell>
          <cell r="DA579" t="str">
            <v>-</v>
          </cell>
          <cell r="DG579" t="str">
            <v>-</v>
          </cell>
          <cell r="DM579" t="str">
            <v>-</v>
          </cell>
          <cell r="DS579" t="str">
            <v>-</v>
          </cell>
          <cell r="DZ579" t="str">
            <v>-</v>
          </cell>
          <cell r="EE579" t="str">
            <v>Đầu tư xây dựng</v>
          </cell>
          <cell r="EQ579" t="str">
            <v>-</v>
          </cell>
          <cell r="EW579" t="str">
            <v>-</v>
          </cell>
          <cell r="FC579" t="str">
            <v>-</v>
          </cell>
          <cell r="FI579" t="str">
            <v>-</v>
          </cell>
          <cell r="FP579" t="str">
            <v>-</v>
          </cell>
        </row>
        <row r="580">
          <cell r="E580" t="str">
            <v>construction in progress</v>
          </cell>
          <cell r="AX580" t="str">
            <v>cơ bản hoàn thành</v>
          </cell>
          <cell r="CO580" t="str">
            <v>construction in progress</v>
          </cell>
          <cell r="EE580" t="str">
            <v>cơ bản hoàn thành</v>
          </cell>
        </row>
        <row r="581">
          <cell r="E581" t="str">
            <v>Other increases</v>
          </cell>
          <cell r="Q581" t="str">
            <v>-</v>
          </cell>
          <cell r="W581" t="str">
            <v>-</v>
          </cell>
          <cell r="AC581" t="str">
            <v>-</v>
          </cell>
          <cell r="AI581" t="str">
            <v>-</v>
          </cell>
          <cell r="AP581" t="str">
            <v>-</v>
          </cell>
          <cell r="AX581" t="str">
            <v>Tăng khác</v>
          </cell>
          <cell r="BJ581" t="str">
            <v>-</v>
          </cell>
          <cell r="BP581" t="str">
            <v>-</v>
          </cell>
          <cell r="BV581" t="str">
            <v>-</v>
          </cell>
          <cell r="CB581" t="str">
            <v>-</v>
          </cell>
          <cell r="CI581" t="str">
            <v>-</v>
          </cell>
          <cell r="CO581" t="str">
            <v>Other increases</v>
          </cell>
          <cell r="DA581" t="str">
            <v>-</v>
          </cell>
          <cell r="DG581" t="str">
            <v>-</v>
          </cell>
          <cell r="DM581" t="str">
            <v>-</v>
          </cell>
          <cell r="DS581" t="str">
            <v>-</v>
          </cell>
          <cell r="DZ581" t="str">
            <v>-</v>
          </cell>
          <cell r="EE581" t="str">
            <v>Tăng khác</v>
          </cell>
          <cell r="EQ581" t="str">
            <v>-</v>
          </cell>
          <cell r="EW581" t="str">
            <v>-</v>
          </cell>
          <cell r="FC581" t="str">
            <v>-</v>
          </cell>
          <cell r="FI581" t="str">
            <v>-</v>
          </cell>
          <cell r="FP581" t="str">
            <v>-</v>
          </cell>
        </row>
        <row r="582">
          <cell r="E582" t="str">
            <v>Transferred to</v>
          </cell>
          <cell r="Q582" t="str">
            <v>-</v>
          </cell>
          <cell r="W582" t="str">
            <v>-</v>
          </cell>
          <cell r="AC582" t="str">
            <v>-</v>
          </cell>
          <cell r="AI582" t="str">
            <v>-</v>
          </cell>
          <cell r="AP582" t="str">
            <v>-</v>
          </cell>
          <cell r="AX582" t="str">
            <v>Chuyển sang</v>
          </cell>
          <cell r="BJ582" t="str">
            <v>-</v>
          </cell>
          <cell r="BP582" t="str">
            <v>-</v>
          </cell>
          <cell r="BV582" t="str">
            <v>-</v>
          </cell>
          <cell r="CB582" t="str">
            <v>-</v>
          </cell>
          <cell r="CI582" t="str">
            <v>-</v>
          </cell>
          <cell r="CO582" t="str">
            <v>Transferred to</v>
          </cell>
          <cell r="DA582" t="str">
            <v>-</v>
          </cell>
          <cell r="DG582" t="str">
            <v>-</v>
          </cell>
          <cell r="DM582" t="str">
            <v>-</v>
          </cell>
          <cell r="DS582" t="str">
            <v>-</v>
          </cell>
          <cell r="DZ582" t="str">
            <v>-</v>
          </cell>
          <cell r="EE582" t="str">
            <v>Chuyển sang</v>
          </cell>
          <cell r="EQ582" t="str">
            <v>-</v>
          </cell>
          <cell r="EW582" t="str">
            <v>-</v>
          </cell>
          <cell r="FC582" t="str">
            <v>-</v>
          </cell>
          <cell r="FI582" t="str">
            <v>-</v>
          </cell>
          <cell r="FP582" t="str">
            <v>-</v>
          </cell>
        </row>
        <row r="583">
          <cell r="E583" t="str">
            <v>long-term prepaid expenses</v>
          </cell>
          <cell r="AX583" t="str">
            <v>chi phí trả trước dài hạn</v>
          </cell>
          <cell r="CO583" t="str">
            <v>long-term prepaid expenses</v>
          </cell>
          <cell r="EE583" t="str">
            <v>chi phí trả trước dài hạn</v>
          </cell>
        </row>
        <row r="584">
          <cell r="E584" t="str">
            <v>Disposed</v>
          </cell>
          <cell r="Q584" t="str">
            <v>-</v>
          </cell>
          <cell r="W584" t="str">
            <v>-</v>
          </cell>
          <cell r="AC584" t="str">
            <v>-</v>
          </cell>
          <cell r="AI584" t="str">
            <v>-</v>
          </cell>
          <cell r="AP584" t="str">
            <v>-</v>
          </cell>
          <cell r="AX584" t="str">
            <v>Thanh lý</v>
          </cell>
          <cell r="BJ584" t="str">
            <v>-</v>
          </cell>
          <cell r="BP584" t="str">
            <v>-</v>
          </cell>
          <cell r="BV584" t="str">
            <v>-</v>
          </cell>
          <cell r="CB584" t="str">
            <v>-</v>
          </cell>
          <cell r="CI584" t="str">
            <v>-</v>
          </cell>
          <cell r="CO584" t="str">
            <v>Disposed</v>
          </cell>
          <cell r="DA584" t="str">
            <v>-</v>
          </cell>
          <cell r="DG584" t="str">
            <v>-</v>
          </cell>
          <cell r="DM584" t="str">
            <v>-</v>
          </cell>
          <cell r="DS584" t="str">
            <v>-</v>
          </cell>
          <cell r="DZ584" t="str">
            <v>-</v>
          </cell>
          <cell r="EE584" t="str">
            <v>Thanh lý</v>
          </cell>
          <cell r="EQ584" t="str">
            <v>-</v>
          </cell>
          <cell r="EW584" t="str">
            <v>-</v>
          </cell>
          <cell r="FC584" t="str">
            <v>-</v>
          </cell>
          <cell r="FI584" t="str">
            <v>-</v>
          </cell>
          <cell r="FP584" t="str">
            <v>-</v>
          </cell>
        </row>
        <row r="585">
          <cell r="E585" t="str">
            <v>Other decreases</v>
          </cell>
          <cell r="Q585" t="str">
            <v>-</v>
          </cell>
          <cell r="W585" t="str">
            <v>-</v>
          </cell>
          <cell r="AC585" t="str">
            <v>-</v>
          </cell>
          <cell r="AI585" t="str">
            <v>-</v>
          </cell>
          <cell r="AP585" t="str">
            <v>-</v>
          </cell>
          <cell r="AX585" t="str">
            <v>Giảm khác</v>
          </cell>
          <cell r="BJ585" t="str">
            <v>-</v>
          </cell>
          <cell r="BP585" t="str">
            <v>-</v>
          </cell>
          <cell r="BV585" t="str">
            <v>-</v>
          </cell>
          <cell r="CB585" t="str">
            <v>-</v>
          </cell>
          <cell r="CI585" t="str">
            <v>-</v>
          </cell>
          <cell r="CO585" t="str">
            <v>Other decreases</v>
          </cell>
          <cell r="DA585" t="str">
            <v>-</v>
          </cell>
          <cell r="DG585" t="str">
            <v>-</v>
          </cell>
          <cell r="DM585" t="str">
            <v>-</v>
          </cell>
          <cell r="DS585" t="str">
            <v>-</v>
          </cell>
          <cell r="DZ585" t="str">
            <v>-</v>
          </cell>
          <cell r="EE585" t="str">
            <v>Giảm khác</v>
          </cell>
          <cell r="EQ585" t="str">
            <v>-</v>
          </cell>
          <cell r="EW585" t="str">
            <v>-</v>
          </cell>
          <cell r="FC585" t="str">
            <v>-</v>
          </cell>
          <cell r="FI585" t="str">
            <v>-</v>
          </cell>
          <cell r="FP585" t="str">
            <v>-</v>
          </cell>
        </row>
        <row r="586">
          <cell r="CO586" t="str">
            <v>FX difference (*)</v>
          </cell>
          <cell r="DA586" t="str">
            <v>-</v>
          </cell>
          <cell r="DG586" t="str">
            <v>-</v>
          </cell>
          <cell r="DM586" t="str">
            <v>-</v>
          </cell>
          <cell r="DS586" t="str">
            <v>-</v>
          </cell>
          <cell r="DZ586" t="str">
            <v>-</v>
          </cell>
          <cell r="EE586" t="str">
            <v>CLTG (*)</v>
          </cell>
          <cell r="EQ586" t="str">
            <v>-</v>
          </cell>
          <cell r="EW586" t="str">
            <v>-</v>
          </cell>
          <cell r="FC586" t="str">
            <v>-</v>
          </cell>
          <cell r="FI586" t="str">
            <v>-</v>
          </cell>
          <cell r="FP586" t="str">
            <v>-</v>
          </cell>
        </row>
        <row r="587">
          <cell r="E587" t="str">
            <v>Ending balance</v>
          </cell>
          <cell r="Q587" t="str">
            <v>-</v>
          </cell>
          <cell r="W587" t="str">
            <v>-</v>
          </cell>
          <cell r="AC587" t="str">
            <v>-</v>
          </cell>
          <cell r="AI587" t="str">
            <v>-</v>
          </cell>
          <cell r="AP587" t="str">
            <v>-</v>
          </cell>
          <cell r="AX587" t="str">
            <v>Số dư cuối năm</v>
          </cell>
          <cell r="BJ587" t="str">
            <v>-</v>
          </cell>
          <cell r="BP587" t="str">
            <v>-</v>
          </cell>
          <cell r="BV587" t="str">
            <v>-</v>
          </cell>
          <cell r="CB587" t="str">
            <v>-</v>
          </cell>
          <cell r="CI587" t="str">
            <v>-</v>
          </cell>
          <cell r="CO587" t="str">
            <v>Ending balance</v>
          </cell>
          <cell r="DA587" t="str">
            <v>-</v>
          </cell>
          <cell r="DG587" t="str">
            <v>-</v>
          </cell>
          <cell r="DM587" t="str">
            <v>-</v>
          </cell>
          <cell r="DS587" t="str">
            <v>-</v>
          </cell>
          <cell r="DZ587" t="str">
            <v>-</v>
          </cell>
          <cell r="EE587" t="str">
            <v>Số dư cuối năm</v>
          </cell>
          <cell r="EQ587" t="str">
            <v>-</v>
          </cell>
          <cell r="EW587" t="str">
            <v>-</v>
          </cell>
          <cell r="FC587" t="str">
            <v>-</v>
          </cell>
          <cell r="FI587" t="str">
            <v>-</v>
          </cell>
          <cell r="FP587" t="str">
            <v>-</v>
          </cell>
        </row>
        <row r="589">
          <cell r="E589" t="str">
            <v>In which:</v>
          </cell>
          <cell r="AX589" t="str">
            <v>Trong đó:</v>
          </cell>
          <cell r="CO589" t="str">
            <v>In which:</v>
          </cell>
          <cell r="EE589" t="str">
            <v>Trong đó:</v>
          </cell>
        </row>
        <row r="590">
          <cell r="E590" t="str">
            <v>Fully amortised</v>
          </cell>
          <cell r="Q590" t="str">
            <v>-</v>
          </cell>
          <cell r="W590" t="str">
            <v>-</v>
          </cell>
          <cell r="AC590" t="str">
            <v>-</v>
          </cell>
          <cell r="AI590" t="str">
            <v>-</v>
          </cell>
          <cell r="AP590" t="str">
            <v>-</v>
          </cell>
          <cell r="AX590" t="str">
            <v>Đã khấu hao hết</v>
          </cell>
          <cell r="BJ590" t="str">
            <v>-</v>
          </cell>
          <cell r="BP590" t="str">
            <v>-</v>
          </cell>
          <cell r="BV590" t="str">
            <v>-</v>
          </cell>
          <cell r="CB590" t="str">
            <v>-</v>
          </cell>
          <cell r="CI590" t="str">
            <v>-</v>
          </cell>
          <cell r="CO590" t="str">
            <v>Fully amortised</v>
          </cell>
          <cell r="DA590" t="str">
            <v>-</v>
          </cell>
          <cell r="DG590" t="str">
            <v>-</v>
          </cell>
          <cell r="DM590" t="str">
            <v>-</v>
          </cell>
          <cell r="DS590" t="str">
            <v>-</v>
          </cell>
          <cell r="DZ590" t="str">
            <v>-</v>
          </cell>
          <cell r="EE590" t="str">
            <v>Đã khấu hao hết</v>
          </cell>
          <cell r="EQ590" t="str">
            <v>-</v>
          </cell>
          <cell r="EW590" t="str">
            <v>-</v>
          </cell>
          <cell r="FC590" t="str">
            <v>-</v>
          </cell>
          <cell r="FI590" t="str">
            <v>-</v>
          </cell>
          <cell r="FP590" t="str">
            <v>-</v>
          </cell>
        </row>
        <row r="592">
          <cell r="E592" t="str">
            <v>Accumulated amortisation</v>
          </cell>
          <cell r="AX592" t="str">
            <v>Giá trị hao mòn lũy kế</v>
          </cell>
          <cell r="CO592" t="str">
            <v>Accumulated amortisation</v>
          </cell>
          <cell r="EE592" t="str">
            <v>Giá trị hao mòn lũy kế</v>
          </cell>
        </row>
        <row r="593">
          <cell r="E593" t="str">
            <v>Beginning balance</v>
          </cell>
          <cell r="Q593" t="str">
            <v>-</v>
          </cell>
          <cell r="W593" t="str">
            <v>-</v>
          </cell>
          <cell r="AC593" t="str">
            <v>-</v>
          </cell>
          <cell r="AI593" t="str">
            <v>-</v>
          </cell>
          <cell r="AP593" t="str">
            <v>-</v>
          </cell>
          <cell r="AX593" t="str">
            <v xml:space="preserve">Số dư đầu năm </v>
          </cell>
          <cell r="BJ593" t="str">
            <v>-</v>
          </cell>
          <cell r="BP593" t="str">
            <v>-</v>
          </cell>
          <cell r="BV593" t="str">
            <v>-</v>
          </cell>
          <cell r="CB593" t="str">
            <v>-</v>
          </cell>
          <cell r="CI593" t="str">
            <v>-</v>
          </cell>
          <cell r="CO593" t="str">
            <v>Beginning balance</v>
          </cell>
          <cell r="DA593" t="str">
            <v>-</v>
          </cell>
          <cell r="DG593" t="str">
            <v>-</v>
          </cell>
          <cell r="DM593" t="str">
            <v>-</v>
          </cell>
          <cell r="DS593" t="str">
            <v>-</v>
          </cell>
          <cell r="DZ593" t="str">
            <v>-</v>
          </cell>
          <cell r="EE593" t="str">
            <v xml:space="preserve">Số dư đầu năm </v>
          </cell>
          <cell r="EQ593" t="str">
            <v>-</v>
          </cell>
          <cell r="EW593" t="str">
            <v>-</v>
          </cell>
          <cell r="FC593" t="str">
            <v>-</v>
          </cell>
          <cell r="FI593" t="str">
            <v>-</v>
          </cell>
          <cell r="FP593" t="str">
            <v>-</v>
          </cell>
        </row>
        <row r="594">
          <cell r="E594" t="str">
            <v>Amortisation</v>
          </cell>
          <cell r="Q594" t="str">
            <v>-</v>
          </cell>
          <cell r="W594" t="str">
            <v>-</v>
          </cell>
          <cell r="AC594" t="str">
            <v>-</v>
          </cell>
          <cell r="AI594" t="str">
            <v>-</v>
          </cell>
          <cell r="AP594" t="str">
            <v>-</v>
          </cell>
          <cell r="AX594" t="str">
            <v>Khấu hao</v>
          </cell>
          <cell r="BJ594" t="str">
            <v>-</v>
          </cell>
          <cell r="BP594" t="str">
            <v>-</v>
          </cell>
          <cell r="BV594" t="str">
            <v>-</v>
          </cell>
          <cell r="CB594" t="str">
            <v>-</v>
          </cell>
          <cell r="CI594" t="str">
            <v>-</v>
          </cell>
          <cell r="CO594" t="str">
            <v>Amortisation</v>
          </cell>
          <cell r="DA594" t="str">
            <v>-</v>
          </cell>
          <cell r="DG594" t="str">
            <v>-</v>
          </cell>
          <cell r="DM594" t="str">
            <v>-</v>
          </cell>
          <cell r="DS594" t="str">
            <v>-</v>
          </cell>
          <cell r="DZ594" t="str">
            <v>-</v>
          </cell>
          <cell r="EE594" t="str">
            <v>Khấu hao</v>
          </cell>
          <cell r="EQ594" t="str">
            <v>-</v>
          </cell>
          <cell r="EW594" t="str">
            <v>-</v>
          </cell>
          <cell r="FC594" t="str">
            <v>-</v>
          </cell>
          <cell r="FI594" t="str">
            <v>-</v>
          </cell>
          <cell r="FP594" t="str">
            <v>-</v>
          </cell>
        </row>
        <row r="595">
          <cell r="E595" t="str">
            <v>Other increases</v>
          </cell>
          <cell r="Q595" t="str">
            <v>-</v>
          </cell>
          <cell r="W595" t="str">
            <v>-</v>
          </cell>
          <cell r="AC595" t="str">
            <v>-</v>
          </cell>
          <cell r="AI595" t="str">
            <v>-</v>
          </cell>
          <cell r="AP595" t="str">
            <v>-</v>
          </cell>
          <cell r="AX595" t="str">
            <v>Tăng khác</v>
          </cell>
          <cell r="BJ595" t="str">
            <v>-</v>
          </cell>
          <cell r="BP595" t="str">
            <v>-</v>
          </cell>
          <cell r="BV595" t="str">
            <v>-</v>
          </cell>
          <cell r="CB595" t="str">
            <v>-</v>
          </cell>
          <cell r="CI595" t="str">
            <v>-</v>
          </cell>
          <cell r="CO595" t="str">
            <v>Other increases</v>
          </cell>
          <cell r="DA595" t="str">
            <v>-</v>
          </cell>
          <cell r="DG595" t="str">
            <v>-</v>
          </cell>
          <cell r="DM595" t="str">
            <v>-</v>
          </cell>
          <cell r="DS595" t="str">
            <v>-</v>
          </cell>
          <cell r="DZ595" t="str">
            <v>-</v>
          </cell>
          <cell r="EE595" t="str">
            <v>Tăng khác</v>
          </cell>
          <cell r="EQ595" t="str">
            <v>-</v>
          </cell>
          <cell r="EW595" t="str">
            <v>-</v>
          </cell>
          <cell r="FC595" t="str">
            <v>-</v>
          </cell>
          <cell r="FI595" t="str">
            <v>-</v>
          </cell>
          <cell r="FP595" t="str">
            <v>-</v>
          </cell>
        </row>
        <row r="596">
          <cell r="E596" t="str">
            <v>Transferred to</v>
          </cell>
          <cell r="Q596" t="str">
            <v>-</v>
          </cell>
          <cell r="W596" t="str">
            <v>-</v>
          </cell>
          <cell r="AC596" t="str">
            <v>-</v>
          </cell>
          <cell r="AI596" t="str">
            <v>-</v>
          </cell>
          <cell r="AP596" t="str">
            <v>-</v>
          </cell>
          <cell r="AX596" t="str">
            <v>Chuyển sang</v>
          </cell>
          <cell r="BJ596" t="str">
            <v>-</v>
          </cell>
          <cell r="BP596" t="str">
            <v>-</v>
          </cell>
          <cell r="BV596" t="str">
            <v>-</v>
          </cell>
          <cell r="CB596" t="str">
            <v>-</v>
          </cell>
          <cell r="CI596" t="str">
            <v>-</v>
          </cell>
          <cell r="CO596" t="str">
            <v>Transferred to</v>
          </cell>
          <cell r="DA596" t="str">
            <v>-</v>
          </cell>
          <cell r="DG596" t="str">
            <v>-</v>
          </cell>
          <cell r="DM596" t="str">
            <v>-</v>
          </cell>
          <cell r="DS596" t="str">
            <v>-</v>
          </cell>
          <cell r="DZ596" t="str">
            <v>-</v>
          </cell>
          <cell r="EE596" t="str">
            <v>Chuyển sang</v>
          </cell>
          <cell r="EQ596" t="str">
            <v>-</v>
          </cell>
          <cell r="EW596" t="str">
            <v>-</v>
          </cell>
          <cell r="FC596" t="str">
            <v>-</v>
          </cell>
          <cell r="FI596" t="str">
            <v>-</v>
          </cell>
          <cell r="FP596" t="str">
            <v>-</v>
          </cell>
        </row>
        <row r="597">
          <cell r="E597" t="str">
            <v>long-term prepaid expenses</v>
          </cell>
          <cell r="AX597" t="str">
            <v>chi phí trả trước dài hạn</v>
          </cell>
          <cell r="CO597" t="str">
            <v>long-term prepaid expenses</v>
          </cell>
          <cell r="EE597" t="str">
            <v>chi phí trả trước dài hạn</v>
          </cell>
        </row>
        <row r="598">
          <cell r="E598" t="str">
            <v>Disposed</v>
          </cell>
          <cell r="Q598" t="str">
            <v>-</v>
          </cell>
          <cell r="W598" t="str">
            <v>-</v>
          </cell>
          <cell r="AC598" t="str">
            <v>-</v>
          </cell>
          <cell r="AI598" t="str">
            <v>-</v>
          </cell>
          <cell r="AP598" t="str">
            <v>-</v>
          </cell>
          <cell r="AX598" t="str">
            <v>Thanh lý</v>
          </cell>
          <cell r="BJ598" t="str">
            <v>-</v>
          </cell>
          <cell r="BP598" t="str">
            <v>-</v>
          </cell>
          <cell r="BV598" t="str">
            <v>-</v>
          </cell>
          <cell r="CB598" t="str">
            <v>-</v>
          </cell>
          <cell r="CI598" t="str">
            <v>-</v>
          </cell>
          <cell r="CO598" t="str">
            <v>Disposed</v>
          </cell>
          <cell r="DA598" t="str">
            <v>-</v>
          </cell>
          <cell r="DG598" t="str">
            <v>-</v>
          </cell>
          <cell r="DM598" t="str">
            <v>-</v>
          </cell>
          <cell r="DS598" t="str">
            <v>-</v>
          </cell>
          <cell r="DZ598" t="str">
            <v>-</v>
          </cell>
          <cell r="EE598" t="str">
            <v>Thanh lý</v>
          </cell>
          <cell r="EQ598" t="str">
            <v>-</v>
          </cell>
          <cell r="EW598" t="str">
            <v>-</v>
          </cell>
          <cell r="FC598" t="str">
            <v>-</v>
          </cell>
          <cell r="FI598" t="str">
            <v>-</v>
          </cell>
          <cell r="FP598" t="str">
            <v>-</v>
          </cell>
        </row>
        <row r="599">
          <cell r="E599" t="str">
            <v>Other decreases</v>
          </cell>
          <cell r="Q599" t="str">
            <v>-</v>
          </cell>
          <cell r="W599" t="str">
            <v>-</v>
          </cell>
          <cell r="AC599" t="str">
            <v>-</v>
          </cell>
          <cell r="AI599" t="str">
            <v>-</v>
          </cell>
          <cell r="AP599" t="str">
            <v>-</v>
          </cell>
          <cell r="AX599" t="str">
            <v>Giảm khác</v>
          </cell>
          <cell r="BJ599" t="str">
            <v>-</v>
          </cell>
          <cell r="BP599" t="str">
            <v>-</v>
          </cell>
          <cell r="BV599" t="str">
            <v>-</v>
          </cell>
          <cell r="CB599" t="str">
            <v>-</v>
          </cell>
          <cell r="CI599" t="str">
            <v>-</v>
          </cell>
          <cell r="CO599" t="str">
            <v>Other decreases</v>
          </cell>
          <cell r="DA599" t="str">
            <v>-</v>
          </cell>
          <cell r="DG599" t="str">
            <v>-</v>
          </cell>
          <cell r="DM599" t="str">
            <v>-</v>
          </cell>
          <cell r="DS599" t="str">
            <v>-</v>
          </cell>
          <cell r="DZ599" t="str">
            <v>-</v>
          </cell>
          <cell r="EE599" t="str">
            <v>Giảm khác</v>
          </cell>
          <cell r="EQ599" t="str">
            <v>-</v>
          </cell>
          <cell r="EW599" t="str">
            <v>-</v>
          </cell>
          <cell r="FC599" t="str">
            <v>-</v>
          </cell>
          <cell r="FI599" t="str">
            <v>-</v>
          </cell>
          <cell r="FP599" t="str">
            <v>-</v>
          </cell>
        </row>
        <row r="600">
          <cell r="CO600" t="str">
            <v>FX difference (*)</v>
          </cell>
          <cell r="DA600" t="str">
            <v>-</v>
          </cell>
          <cell r="DG600" t="str">
            <v>-</v>
          </cell>
          <cell r="DM600" t="str">
            <v>-</v>
          </cell>
          <cell r="DS600" t="str">
            <v>-</v>
          </cell>
          <cell r="DZ600" t="str">
            <v>-</v>
          </cell>
          <cell r="EE600" t="str">
            <v>CLTG (*)</v>
          </cell>
          <cell r="EQ600" t="str">
            <v>-</v>
          </cell>
          <cell r="EW600" t="str">
            <v>-</v>
          </cell>
          <cell r="FC600" t="str">
            <v>-</v>
          </cell>
          <cell r="FI600" t="str">
            <v>-</v>
          </cell>
          <cell r="FP600" t="str">
            <v>-</v>
          </cell>
        </row>
        <row r="601">
          <cell r="E601" t="str">
            <v>Ending balance</v>
          </cell>
          <cell r="Q601" t="str">
            <v>-</v>
          </cell>
          <cell r="W601" t="str">
            <v>-</v>
          </cell>
          <cell r="AC601" t="str">
            <v>-</v>
          </cell>
          <cell r="AI601" t="str">
            <v>-</v>
          </cell>
          <cell r="AP601" t="str">
            <v>-</v>
          </cell>
          <cell r="AX601" t="str">
            <v>Số dư cuối năm</v>
          </cell>
          <cell r="BJ601" t="str">
            <v>-</v>
          </cell>
          <cell r="BP601" t="str">
            <v>-</v>
          </cell>
          <cell r="BV601" t="str">
            <v>-</v>
          </cell>
          <cell r="CB601" t="str">
            <v>-</v>
          </cell>
          <cell r="CI601" t="str">
            <v>-</v>
          </cell>
          <cell r="CO601" t="str">
            <v>Ending balance</v>
          </cell>
          <cell r="DA601" t="str">
            <v>-</v>
          </cell>
          <cell r="DG601" t="str">
            <v>-</v>
          </cell>
          <cell r="DM601" t="str">
            <v>-</v>
          </cell>
          <cell r="DS601" t="str">
            <v>-</v>
          </cell>
          <cell r="DZ601" t="str">
            <v>-</v>
          </cell>
          <cell r="EE601" t="str">
            <v>Số dư cuối năm</v>
          </cell>
          <cell r="EQ601" t="str">
            <v>-</v>
          </cell>
          <cell r="EW601" t="str">
            <v>-</v>
          </cell>
          <cell r="FC601" t="str">
            <v>-</v>
          </cell>
          <cell r="FI601" t="str">
            <v>-</v>
          </cell>
          <cell r="FP601" t="str">
            <v>-</v>
          </cell>
        </row>
        <row r="603">
          <cell r="E603" t="str">
            <v>Net book value</v>
          </cell>
          <cell r="AX603" t="str">
            <v>Giá trị còn lại</v>
          </cell>
          <cell r="CO603" t="str">
            <v>Net book value</v>
          </cell>
          <cell r="EE603" t="str">
            <v>Giá trị còn lại</v>
          </cell>
        </row>
        <row r="604">
          <cell r="E604" t="str">
            <v>Beginning balance</v>
          </cell>
          <cell r="Q604" t="str">
            <v>-</v>
          </cell>
          <cell r="W604" t="str">
            <v>-</v>
          </cell>
          <cell r="AC604" t="str">
            <v>-</v>
          </cell>
          <cell r="AI604" t="str">
            <v>-</v>
          </cell>
          <cell r="AP604" t="str">
            <v>-</v>
          </cell>
          <cell r="AX604" t="str">
            <v>Tại ngày đầu năm</v>
          </cell>
          <cell r="BJ604" t="str">
            <v>-</v>
          </cell>
          <cell r="BP604" t="str">
            <v>-</v>
          </cell>
          <cell r="BV604" t="str">
            <v>-</v>
          </cell>
          <cell r="CB604" t="str">
            <v>-</v>
          </cell>
          <cell r="CI604" t="str">
            <v>-</v>
          </cell>
          <cell r="CO604" t="str">
            <v>Beginning balance</v>
          </cell>
          <cell r="DA604" t="str">
            <v>-</v>
          </cell>
          <cell r="DG604" t="str">
            <v>-</v>
          </cell>
          <cell r="DM604" t="str">
            <v>-</v>
          </cell>
          <cell r="DS604" t="str">
            <v>-</v>
          </cell>
          <cell r="DZ604" t="str">
            <v>-</v>
          </cell>
          <cell r="EE604" t="str">
            <v>Tại ngày đầu năm</v>
          </cell>
          <cell r="EQ604" t="str">
            <v>-</v>
          </cell>
          <cell r="EW604" t="str">
            <v>-</v>
          </cell>
          <cell r="FC604" t="str">
            <v>-</v>
          </cell>
          <cell r="FI604" t="str">
            <v>-</v>
          </cell>
          <cell r="FP604" t="str">
            <v>-</v>
          </cell>
        </row>
        <row r="605">
          <cell r="E605" t="str">
            <v>Ending balance</v>
          </cell>
          <cell r="Q605" t="str">
            <v>-</v>
          </cell>
          <cell r="W605" t="str">
            <v>-</v>
          </cell>
          <cell r="AC605" t="str">
            <v>-</v>
          </cell>
          <cell r="AI605" t="str">
            <v>-</v>
          </cell>
          <cell r="AP605" t="str">
            <v>-</v>
          </cell>
          <cell r="AX605" t="str">
            <v>Tại ngày cuối năm</v>
          </cell>
          <cell r="BJ605" t="str">
            <v>-</v>
          </cell>
          <cell r="BP605" t="str">
            <v>-</v>
          </cell>
          <cell r="BV605" t="str">
            <v>-</v>
          </cell>
          <cell r="CB605" t="str">
            <v>-</v>
          </cell>
          <cell r="CI605" t="str">
            <v>-</v>
          </cell>
          <cell r="CO605" t="str">
            <v>Ending balance</v>
          </cell>
          <cell r="DA605" t="str">
            <v>-</v>
          </cell>
          <cell r="DG605" t="str">
            <v>-</v>
          </cell>
          <cell r="DM605" t="str">
            <v>-</v>
          </cell>
          <cell r="DS605" t="str">
            <v>-</v>
          </cell>
          <cell r="DZ605" t="str">
            <v>-</v>
          </cell>
          <cell r="EE605" t="str">
            <v>Tại ngày cuối năm</v>
          </cell>
          <cell r="EQ605" t="str">
            <v>-</v>
          </cell>
          <cell r="EW605" t="str">
            <v>-</v>
          </cell>
          <cell r="FC605" t="str">
            <v>-</v>
          </cell>
          <cell r="FI605" t="str">
            <v>-</v>
          </cell>
          <cell r="FP605" t="str">
            <v>-</v>
          </cell>
        </row>
        <row r="607">
          <cell r="E607" t="str">
            <v>Land use rights with definite term (if any)</v>
          </cell>
          <cell r="AX607" t="str">
            <v>Quyền sử dụng đất có thời hạn (nếu có)</v>
          </cell>
          <cell r="CO607" t="str">
            <v>Land use rights with definite term (if any)</v>
          </cell>
          <cell r="EE607" t="str">
            <v>Quyền sử dụng đất có thời hạn (nếu có)</v>
          </cell>
        </row>
        <row r="609">
          <cell r="E609" t="str">
            <v>Land use rights with definite term relates to the land located at [address on Land use rights Certificate]. In accordance with the Land use rights Certificate No [X] granted by [X] dated d month yyyy, the Company has right to use the land for [X] years.</v>
          </cell>
          <cell r="AX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CO609" t="str">
            <v>Land use rights with definite term relates to the land located at [address on Land use rights Certificate]. In accordance with the Land use rights Certificate No [X] granted by [X] dated d month yyyy, the Company has right to use the land for [X] years.</v>
          </cell>
          <cell r="EE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613">
          <cell r="E613" t="str">
            <v>As at 31 March 2024, total cost of intangible fixed assets that have been fully depreciated but still in use is VND xxx,xxx,xxx.</v>
          </cell>
          <cell r="AX613" t="str">
            <v>Tại ngày 31 tháng 03 năm 2024, tổng nguyên giá TSCĐ vô hình đã khấu hao hết nhưng vẫn còn sử dụng là xxx.xxx.xxx VND.</v>
          </cell>
          <cell r="CO613" t="str">
            <v>As at 31 March 2024, total cost of intangible fixed assets that have been fully depreciated but still in use is VND xxx,xxx,xxx.</v>
          </cell>
          <cell r="EE613" t="str">
            <v>Tại ngày 31 tháng 03 năm 2024, tổng nguyên giá TSCĐ vô hình đã khấu hao hết nhưng vẫn còn sử dụng là xxx.xxx.xxx VND.</v>
          </cell>
        </row>
        <row r="617">
          <cell r="CO617" t="str">
            <v>FX difference (*): derived from the difference between exchange rates applied to translate.</v>
          </cell>
          <cell r="EE617" t="str">
            <v>CLTG (*): phát sinh do sự khác nhau giữa các tỷ giá áp dụng để chuyển đổi.</v>
          </cell>
        </row>
        <row r="619">
          <cell r="D619" t="str">
            <v>.</v>
          </cell>
          <cell r="E619" t="str">
            <v>INVESTMENT PROPERTIES</v>
          </cell>
          <cell r="AW619" t="str">
            <v>.</v>
          </cell>
          <cell r="AX619" t="str">
            <v>BẤT ĐỘNG SẢN ĐẦU TƯ</v>
          </cell>
          <cell r="CN619" t="str">
            <v>.</v>
          </cell>
          <cell r="CO619" t="str">
            <v>INVESTMENT PROPERTIES</v>
          </cell>
          <cell r="ED619" t="str">
            <v>.</v>
          </cell>
          <cell r="EE619" t="str">
            <v>BẤT ĐỘNG SẢN ĐẦU TƯ</v>
          </cell>
        </row>
        <row r="621">
          <cell r="D621" t="str">
            <v>a.</v>
          </cell>
          <cell r="E621" t="str">
            <v>Investment property for lease</v>
          </cell>
          <cell r="AW621" t="str">
            <v>a.</v>
          </cell>
          <cell r="AX621" t="str">
            <v>Bất động sản đầu tư cho thuê</v>
          </cell>
          <cell r="CN621" t="str">
            <v>a.</v>
          </cell>
          <cell r="CO621" t="str">
            <v>Investment property for lease</v>
          </cell>
          <cell r="ED621" t="str">
            <v>a.</v>
          </cell>
          <cell r="EE621" t="str">
            <v>Bất động sản đầu tư cho thuê</v>
          </cell>
        </row>
        <row r="622">
          <cell r="FP622" t="str">
            <v/>
          </cell>
        </row>
        <row r="623">
          <cell r="D623" t="str">
            <v xml:space="preserve">Input figures in sheet "FA", </v>
          </cell>
        </row>
        <row r="624">
          <cell r="D624" t="str">
            <v>Move columns in grey to proper positions</v>
          </cell>
        </row>
        <row r="626">
          <cell r="U626" t="str">
            <v>Buildings and</v>
          </cell>
          <cell r="AB626" t="str">
            <v>Buildings and</v>
          </cell>
          <cell r="AI626" t="str">
            <v>Land use</v>
          </cell>
          <cell r="AP626" t="str">
            <v>Total</v>
          </cell>
          <cell r="BN626" t="str">
            <v>Nhà và</v>
          </cell>
          <cell r="BU626" t="str">
            <v>Nhà và</v>
          </cell>
          <cell r="CB626" t="str">
            <v>Quyền sử</v>
          </cell>
          <cell r="CI626" t="str">
            <v>Tổng</v>
          </cell>
          <cell r="DE626" t="str">
            <v>Buildings and</v>
          </cell>
          <cell r="DL626" t="str">
            <v>Buildings and</v>
          </cell>
          <cell r="DS626" t="str">
            <v>Land use</v>
          </cell>
          <cell r="DZ626" t="str">
            <v>Total</v>
          </cell>
          <cell r="EU626" t="str">
            <v>Nhà và</v>
          </cell>
          <cell r="FB626" t="str">
            <v>Nhà và</v>
          </cell>
          <cell r="FI626" t="str">
            <v>Quyền sử</v>
          </cell>
          <cell r="FP626" t="str">
            <v>Tổng</v>
          </cell>
        </row>
        <row r="627">
          <cell r="U627" t="str">
            <v>land use rights</v>
          </cell>
          <cell r="AB627" t="str">
            <v>infrastructure</v>
          </cell>
          <cell r="AI627" t="str">
            <v>rights with</v>
          </cell>
          <cell r="BN627" t="str">
            <v>quyền sử dụng đất</v>
          </cell>
          <cell r="BU627" t="str">
            <v>cơ sở hạ tầng</v>
          </cell>
          <cell r="CB627" t="str">
            <v>dụng đất</v>
          </cell>
          <cell r="CI627" t="str">
            <v>cộng</v>
          </cell>
          <cell r="DE627" t="str">
            <v>land use rights</v>
          </cell>
          <cell r="DL627" t="str">
            <v>infrastructure</v>
          </cell>
          <cell r="DS627" t="str">
            <v>rights with</v>
          </cell>
          <cell r="EU627" t="str">
            <v>quyền sử dụng đất</v>
          </cell>
          <cell r="FB627" t="str">
            <v>cơ sở hạ tầng</v>
          </cell>
          <cell r="FI627" t="str">
            <v>dụng đất</v>
          </cell>
          <cell r="FP627" t="str">
            <v>cộng</v>
          </cell>
        </row>
        <row r="628">
          <cell r="U628" t="str">
            <v>with definite term</v>
          </cell>
          <cell r="AI628" t="str">
            <v>definite term</v>
          </cell>
          <cell r="BN628" t="str">
            <v>có thời hạn</v>
          </cell>
          <cell r="CB628" t="str">
            <v>có thời hạn</v>
          </cell>
          <cell r="DE628" t="str">
            <v>with definite term</v>
          </cell>
          <cell r="DL628" t="str">
            <v/>
          </cell>
          <cell r="DS628" t="str">
            <v>definite term</v>
          </cell>
          <cell r="EU628" t="str">
            <v>có thời hạn</v>
          </cell>
          <cell r="FB628" t="str">
            <v/>
          </cell>
          <cell r="FI628" t="str">
            <v>có thời hạn</v>
          </cell>
        </row>
        <row r="630">
          <cell r="E630" t="str">
            <v>Historical cost</v>
          </cell>
          <cell r="AX630" t="str">
            <v>Nguyên giá</v>
          </cell>
          <cell r="CO630" t="str">
            <v>Historical cost</v>
          </cell>
          <cell r="EE630" t="str">
            <v>Nguyên giá</v>
          </cell>
        </row>
        <row r="631">
          <cell r="E631" t="str">
            <v>Beginning balance</v>
          </cell>
          <cell r="U631" t="str">
            <v>-</v>
          </cell>
          <cell r="AB631" t="str">
            <v>-</v>
          </cell>
          <cell r="AI631" t="str">
            <v>-</v>
          </cell>
          <cell r="AP631" t="str">
            <v>-</v>
          </cell>
          <cell r="AX631" t="str">
            <v xml:space="preserve">Số dư đầu năm </v>
          </cell>
          <cell r="BN631" t="str">
            <v>-</v>
          </cell>
          <cell r="BU631" t="str">
            <v>-</v>
          </cell>
          <cell r="CB631" t="str">
            <v>-</v>
          </cell>
          <cell r="CI631" t="str">
            <v>-</v>
          </cell>
          <cell r="CO631" t="str">
            <v>Beginning balance</v>
          </cell>
          <cell r="DE631" t="str">
            <v>-</v>
          </cell>
          <cell r="DL631" t="str">
            <v>-</v>
          </cell>
          <cell r="DS631" t="str">
            <v>-</v>
          </cell>
          <cell r="DZ631" t="str">
            <v>-</v>
          </cell>
          <cell r="EE631" t="str">
            <v xml:space="preserve">Số dư đầu năm </v>
          </cell>
          <cell r="EU631" t="str">
            <v>-</v>
          </cell>
          <cell r="FB631" t="str">
            <v>-</v>
          </cell>
          <cell r="FI631" t="str">
            <v>-</v>
          </cell>
          <cell r="FP631" t="str">
            <v>-</v>
          </cell>
        </row>
        <row r="632">
          <cell r="E632" t="str">
            <v>New purchases</v>
          </cell>
          <cell r="U632" t="str">
            <v>-</v>
          </cell>
          <cell r="AB632" t="str">
            <v>-</v>
          </cell>
          <cell r="AI632" t="str">
            <v>-</v>
          </cell>
          <cell r="AP632" t="str">
            <v>-</v>
          </cell>
          <cell r="AX632" t="str">
            <v>Mua trong năm</v>
          </cell>
          <cell r="BN632" t="str">
            <v>-</v>
          </cell>
          <cell r="BU632" t="str">
            <v>-</v>
          </cell>
          <cell r="CB632" t="str">
            <v>-</v>
          </cell>
          <cell r="CI632" t="str">
            <v>-</v>
          </cell>
          <cell r="CO632" t="str">
            <v>New purchases</v>
          </cell>
          <cell r="DE632" t="str">
            <v>-</v>
          </cell>
          <cell r="DL632" t="str">
            <v>-</v>
          </cell>
          <cell r="DS632" t="str">
            <v>-</v>
          </cell>
          <cell r="DZ632" t="str">
            <v>-</v>
          </cell>
          <cell r="EE632" t="str">
            <v>Mua trong năm</v>
          </cell>
          <cell r="EU632" t="str">
            <v>-</v>
          </cell>
          <cell r="FB632" t="str">
            <v>-</v>
          </cell>
          <cell r="FI632" t="str">
            <v>-</v>
          </cell>
          <cell r="FP632" t="str">
            <v>-</v>
          </cell>
        </row>
        <row r="633">
          <cell r="E633" t="str">
            <v>Transferred from</v>
          </cell>
          <cell r="U633" t="str">
            <v>-</v>
          </cell>
          <cell r="AB633" t="str">
            <v>-</v>
          </cell>
          <cell r="AI633" t="str">
            <v>-</v>
          </cell>
          <cell r="AP633" t="str">
            <v>-</v>
          </cell>
          <cell r="AX633" t="str">
            <v>Đầu tư XDCB</v>
          </cell>
          <cell r="BN633" t="str">
            <v>-</v>
          </cell>
          <cell r="BU633" t="str">
            <v>-</v>
          </cell>
          <cell r="CB633" t="str">
            <v>-</v>
          </cell>
          <cell r="CI633" t="str">
            <v>-</v>
          </cell>
          <cell r="CO633" t="str">
            <v>Transferred from</v>
          </cell>
          <cell r="DE633" t="str">
            <v>-</v>
          </cell>
          <cell r="DL633" t="str">
            <v>-</v>
          </cell>
          <cell r="DS633" t="str">
            <v>-</v>
          </cell>
          <cell r="DZ633" t="str">
            <v>-</v>
          </cell>
          <cell r="EE633" t="str">
            <v>Đầu tư XDCB</v>
          </cell>
          <cell r="EU633" t="str">
            <v>-</v>
          </cell>
          <cell r="FB633" t="str">
            <v>-</v>
          </cell>
          <cell r="FI633" t="str">
            <v>-</v>
          </cell>
          <cell r="FP633" t="str">
            <v>-</v>
          </cell>
        </row>
        <row r="634">
          <cell r="E634" t="str">
            <v>CIP</v>
          </cell>
          <cell r="AX634" t="str">
            <v>hoàn thành</v>
          </cell>
          <cell r="CO634" t="str">
            <v>CIP</v>
          </cell>
          <cell r="EE634" t="str">
            <v>hoàn thành</v>
          </cell>
        </row>
        <row r="635">
          <cell r="E635" t="str">
            <v>Other increase</v>
          </cell>
          <cell r="U635" t="str">
            <v>-</v>
          </cell>
          <cell r="AB635" t="str">
            <v>-</v>
          </cell>
          <cell r="AI635" t="str">
            <v>-</v>
          </cell>
          <cell r="AP635" t="str">
            <v>-</v>
          </cell>
          <cell r="AX635" t="str">
            <v>Tăng khác</v>
          </cell>
          <cell r="BN635" t="str">
            <v>-</v>
          </cell>
          <cell r="BU635" t="str">
            <v>-</v>
          </cell>
          <cell r="CB635" t="str">
            <v>-</v>
          </cell>
          <cell r="CI635" t="str">
            <v>-</v>
          </cell>
          <cell r="CO635" t="str">
            <v>Other increase</v>
          </cell>
          <cell r="DE635" t="str">
            <v>-</v>
          </cell>
          <cell r="DL635" t="str">
            <v>-</v>
          </cell>
          <cell r="DS635" t="str">
            <v>-</v>
          </cell>
          <cell r="DZ635" t="str">
            <v>-</v>
          </cell>
          <cell r="EE635" t="str">
            <v>Tăng khác</v>
          </cell>
          <cell r="EU635" t="str">
            <v>-</v>
          </cell>
          <cell r="FB635" t="str">
            <v>-</v>
          </cell>
          <cell r="FI635" t="str">
            <v>-</v>
          </cell>
          <cell r="FP635" t="str">
            <v>-</v>
          </cell>
        </row>
        <row r="636">
          <cell r="E636" t="str">
            <v>Transferred to</v>
          </cell>
          <cell r="U636" t="str">
            <v>-</v>
          </cell>
          <cell r="AB636" t="str">
            <v>-</v>
          </cell>
          <cell r="AI636" t="str">
            <v>-</v>
          </cell>
          <cell r="AP636" t="str">
            <v>-</v>
          </cell>
          <cell r="AX636" t="str">
            <v>Chuyển sang</v>
          </cell>
          <cell r="BN636" t="str">
            <v>-</v>
          </cell>
          <cell r="BU636" t="str">
            <v>-</v>
          </cell>
          <cell r="CB636" t="str">
            <v>-</v>
          </cell>
          <cell r="CI636" t="str">
            <v>-</v>
          </cell>
          <cell r="CO636" t="str">
            <v>Transferred to</v>
          </cell>
          <cell r="DE636" t="str">
            <v>-</v>
          </cell>
          <cell r="DL636" t="str">
            <v>-</v>
          </cell>
          <cell r="DS636" t="str">
            <v>-</v>
          </cell>
          <cell r="DZ636" t="str">
            <v>-</v>
          </cell>
          <cell r="EE636" t="str">
            <v>Chuyển sang</v>
          </cell>
          <cell r="EU636" t="str">
            <v>-</v>
          </cell>
          <cell r="FB636" t="str">
            <v>-</v>
          </cell>
          <cell r="FI636" t="str">
            <v>-</v>
          </cell>
          <cell r="FP636" t="str">
            <v>-</v>
          </cell>
        </row>
        <row r="637">
          <cell r="E637" t="str">
            <v>real estate merchandise</v>
          </cell>
          <cell r="AX637" t="str">
            <v>hàng hóa bất động sản</v>
          </cell>
          <cell r="CO637" t="str">
            <v>real estate merchandise</v>
          </cell>
          <cell r="EE637" t="str">
            <v>hàng hóa bất động sản</v>
          </cell>
        </row>
        <row r="638">
          <cell r="E638" t="str">
            <v>Disposed</v>
          </cell>
          <cell r="U638" t="str">
            <v>-</v>
          </cell>
          <cell r="AB638" t="str">
            <v>-</v>
          </cell>
          <cell r="AI638" t="str">
            <v>-</v>
          </cell>
          <cell r="AP638" t="str">
            <v>-</v>
          </cell>
          <cell r="AX638" t="str">
            <v>Thanh lý</v>
          </cell>
          <cell r="BN638" t="str">
            <v>-</v>
          </cell>
          <cell r="BU638" t="str">
            <v>-</v>
          </cell>
          <cell r="CB638" t="str">
            <v>-</v>
          </cell>
          <cell r="CI638" t="str">
            <v>-</v>
          </cell>
          <cell r="CO638" t="str">
            <v>Disposed</v>
          </cell>
          <cell r="DE638" t="str">
            <v>-</v>
          </cell>
          <cell r="DL638" t="str">
            <v>-</v>
          </cell>
          <cell r="DS638" t="str">
            <v>-</v>
          </cell>
          <cell r="DZ638" t="str">
            <v>-</v>
          </cell>
          <cell r="EE638" t="str">
            <v>Thanh lý</v>
          </cell>
          <cell r="EU638" t="str">
            <v>-</v>
          </cell>
          <cell r="FB638" t="str">
            <v>-</v>
          </cell>
          <cell r="FI638" t="str">
            <v>-</v>
          </cell>
          <cell r="FP638" t="str">
            <v>-</v>
          </cell>
        </row>
        <row r="639">
          <cell r="E639" t="str">
            <v>Other decreases</v>
          </cell>
          <cell r="U639" t="str">
            <v>-</v>
          </cell>
          <cell r="AB639" t="str">
            <v>-</v>
          </cell>
          <cell r="AI639" t="str">
            <v>-</v>
          </cell>
          <cell r="AP639" t="str">
            <v>-</v>
          </cell>
          <cell r="AX639" t="str">
            <v>Giảm khác</v>
          </cell>
          <cell r="BN639" t="str">
            <v>-</v>
          </cell>
          <cell r="BU639" t="str">
            <v>-</v>
          </cell>
          <cell r="CB639" t="str">
            <v>-</v>
          </cell>
          <cell r="CI639" t="str">
            <v>-</v>
          </cell>
          <cell r="CO639" t="str">
            <v>Other decreases</v>
          </cell>
          <cell r="DE639" t="str">
            <v>-</v>
          </cell>
          <cell r="DL639" t="str">
            <v>-</v>
          </cell>
          <cell r="DS639" t="str">
            <v>-</v>
          </cell>
          <cell r="DZ639" t="str">
            <v>-</v>
          </cell>
          <cell r="EE639" t="str">
            <v>Giảm khác</v>
          </cell>
          <cell r="EU639" t="str">
            <v>-</v>
          </cell>
          <cell r="FB639" t="str">
            <v>-</v>
          </cell>
          <cell r="FI639" t="str">
            <v>-</v>
          </cell>
          <cell r="FP639" t="str">
            <v>-</v>
          </cell>
        </row>
        <row r="640">
          <cell r="CO640" t="str">
            <v>FX difference (*)</v>
          </cell>
          <cell r="DE640" t="str">
            <v>-</v>
          </cell>
          <cell r="DL640" t="str">
            <v>-</v>
          </cell>
          <cell r="DS640" t="str">
            <v>-</v>
          </cell>
          <cell r="DZ640" t="str">
            <v>-</v>
          </cell>
          <cell r="EE640" t="str">
            <v>CLTG (*)</v>
          </cell>
          <cell r="EU640" t="str">
            <v>-</v>
          </cell>
          <cell r="FB640" t="str">
            <v>-</v>
          </cell>
          <cell r="FI640" t="str">
            <v>-</v>
          </cell>
          <cell r="FP640" t="str">
            <v>-</v>
          </cell>
        </row>
        <row r="641">
          <cell r="E641" t="str">
            <v>Ending balance</v>
          </cell>
          <cell r="U641" t="str">
            <v>-</v>
          </cell>
          <cell r="AB641" t="str">
            <v>-</v>
          </cell>
          <cell r="AI641" t="str">
            <v>-</v>
          </cell>
          <cell r="AP641" t="str">
            <v>-</v>
          </cell>
          <cell r="AX641" t="str">
            <v>Số dư cuối năm</v>
          </cell>
          <cell r="BN641" t="str">
            <v>-</v>
          </cell>
          <cell r="BU641" t="str">
            <v>-</v>
          </cell>
          <cell r="CB641" t="str">
            <v>-</v>
          </cell>
          <cell r="CI641" t="str">
            <v>-</v>
          </cell>
          <cell r="CO641" t="str">
            <v>Ending balance</v>
          </cell>
          <cell r="DE641" t="str">
            <v>-</v>
          </cell>
          <cell r="DL641" t="str">
            <v>-</v>
          </cell>
          <cell r="DS641" t="str">
            <v>-</v>
          </cell>
          <cell r="DZ641" t="str">
            <v>-</v>
          </cell>
          <cell r="EE641" t="str">
            <v>Số dư cuối năm</v>
          </cell>
          <cell r="EU641" t="str">
            <v>-</v>
          </cell>
          <cell r="FB641" t="str">
            <v>-</v>
          </cell>
          <cell r="FI641" t="str">
            <v>-</v>
          </cell>
          <cell r="FP641" t="str">
            <v>-</v>
          </cell>
        </row>
        <row r="643">
          <cell r="E643" t="str">
            <v>In which:</v>
          </cell>
          <cell r="AX643" t="str">
            <v>Trong đó:</v>
          </cell>
          <cell r="CO643" t="str">
            <v>In which:</v>
          </cell>
          <cell r="EE643" t="str">
            <v>Trong đó:</v>
          </cell>
        </row>
        <row r="644">
          <cell r="E644" t="str">
            <v>Fully depreciated</v>
          </cell>
          <cell r="U644" t="str">
            <v>-</v>
          </cell>
          <cell r="AB644" t="str">
            <v>-</v>
          </cell>
          <cell r="AI644" t="str">
            <v>-</v>
          </cell>
          <cell r="AP644" t="str">
            <v>-</v>
          </cell>
          <cell r="AX644" t="str">
            <v>Đã khấu hao hết</v>
          </cell>
          <cell r="BN644" t="str">
            <v>-</v>
          </cell>
          <cell r="BU644" t="str">
            <v>-</v>
          </cell>
          <cell r="CB644" t="str">
            <v>-</v>
          </cell>
          <cell r="CI644" t="str">
            <v>-</v>
          </cell>
          <cell r="CO644" t="str">
            <v>Fully depreciated</v>
          </cell>
          <cell r="DE644" t="str">
            <v>-</v>
          </cell>
          <cell r="DL644" t="str">
            <v>-</v>
          </cell>
          <cell r="DS644" t="str">
            <v>-</v>
          </cell>
          <cell r="DZ644" t="str">
            <v>-</v>
          </cell>
          <cell r="EE644" t="str">
            <v>Đã khấu hao hết</v>
          </cell>
          <cell r="EU644" t="str">
            <v>-</v>
          </cell>
          <cell r="FB644" t="str">
            <v>-</v>
          </cell>
          <cell r="FI644" t="str">
            <v>-</v>
          </cell>
          <cell r="FP644" t="str">
            <v>-</v>
          </cell>
        </row>
        <row r="645">
          <cell r="E645" t="str">
            <v>Awaiting for disposal</v>
          </cell>
          <cell r="U645" t="str">
            <v>-</v>
          </cell>
          <cell r="AB645" t="str">
            <v>-</v>
          </cell>
          <cell r="AI645" t="str">
            <v>-</v>
          </cell>
          <cell r="AP645" t="str">
            <v>-</v>
          </cell>
          <cell r="AX645" t="str">
            <v>Chờ thanh lý</v>
          </cell>
          <cell r="BN645" t="str">
            <v>-</v>
          </cell>
          <cell r="BU645" t="str">
            <v>-</v>
          </cell>
          <cell r="CB645" t="str">
            <v>-</v>
          </cell>
          <cell r="CI645" t="str">
            <v>-</v>
          </cell>
          <cell r="CO645" t="str">
            <v>Awaiting for disposal</v>
          </cell>
          <cell r="DE645" t="str">
            <v>-</v>
          </cell>
          <cell r="DL645" t="str">
            <v>-</v>
          </cell>
          <cell r="DS645" t="str">
            <v>-</v>
          </cell>
          <cell r="DZ645" t="str">
            <v>-</v>
          </cell>
          <cell r="EE645" t="str">
            <v>Chờ thanh lý</v>
          </cell>
          <cell r="EU645" t="str">
            <v>-</v>
          </cell>
          <cell r="FB645" t="str">
            <v>-</v>
          </cell>
          <cell r="FI645" t="str">
            <v>-</v>
          </cell>
          <cell r="FP645" t="str">
            <v>-</v>
          </cell>
        </row>
        <row r="646">
          <cell r="E646" t="str">
            <v>Not used</v>
          </cell>
          <cell r="U646" t="str">
            <v>-</v>
          </cell>
          <cell r="AB646" t="str">
            <v>-</v>
          </cell>
          <cell r="AI646" t="str">
            <v>-</v>
          </cell>
          <cell r="AP646" t="str">
            <v>-</v>
          </cell>
          <cell r="AX646" t="str">
            <v>Không sử dụng</v>
          </cell>
          <cell r="BN646" t="str">
            <v>-</v>
          </cell>
          <cell r="BU646" t="str">
            <v>-</v>
          </cell>
          <cell r="CB646" t="str">
            <v>-</v>
          </cell>
          <cell r="CI646" t="str">
            <v>-</v>
          </cell>
          <cell r="CO646" t="str">
            <v>Not used</v>
          </cell>
          <cell r="DE646" t="str">
            <v>-</v>
          </cell>
          <cell r="DL646" t="str">
            <v>-</v>
          </cell>
          <cell r="DS646" t="str">
            <v>-</v>
          </cell>
          <cell r="DZ646" t="str">
            <v>-</v>
          </cell>
          <cell r="EE646" t="str">
            <v>Không sử dụng</v>
          </cell>
          <cell r="EU646" t="str">
            <v>-</v>
          </cell>
          <cell r="FB646" t="str">
            <v>-</v>
          </cell>
          <cell r="FI646" t="str">
            <v>-</v>
          </cell>
          <cell r="FP646" t="str">
            <v>-</v>
          </cell>
        </row>
        <row r="648">
          <cell r="E648" t="str">
            <v>Accumulated depreciation</v>
          </cell>
          <cell r="AX648" t="str">
            <v>Giá trị hao mòn lũy kế</v>
          </cell>
          <cell r="CO648" t="str">
            <v>Accumulated depreciation</v>
          </cell>
          <cell r="EE648" t="str">
            <v>Giá trị hao mòn lũy kế</v>
          </cell>
        </row>
        <row r="649">
          <cell r="E649" t="str">
            <v>Beginning balance</v>
          </cell>
          <cell r="U649" t="str">
            <v>-</v>
          </cell>
          <cell r="AB649" t="str">
            <v>-</v>
          </cell>
          <cell r="AI649" t="str">
            <v>-</v>
          </cell>
          <cell r="AP649" t="str">
            <v>-</v>
          </cell>
          <cell r="AX649" t="str">
            <v xml:space="preserve">Số dư đầu năm </v>
          </cell>
          <cell r="BN649" t="str">
            <v>-</v>
          </cell>
          <cell r="BU649" t="str">
            <v>-</v>
          </cell>
          <cell r="CB649" t="str">
            <v>-</v>
          </cell>
          <cell r="CI649" t="str">
            <v>-</v>
          </cell>
          <cell r="CO649" t="str">
            <v>Beginning balance</v>
          </cell>
          <cell r="DE649" t="str">
            <v>-</v>
          </cell>
          <cell r="DL649" t="str">
            <v>-</v>
          </cell>
          <cell r="DS649" t="str">
            <v>-</v>
          </cell>
          <cell r="DZ649" t="str">
            <v>-</v>
          </cell>
          <cell r="EE649" t="str">
            <v xml:space="preserve">Số dư đầu năm </v>
          </cell>
          <cell r="EU649" t="str">
            <v>-</v>
          </cell>
          <cell r="FB649" t="str">
            <v>-</v>
          </cell>
          <cell r="FI649" t="str">
            <v>-</v>
          </cell>
          <cell r="FP649" t="str">
            <v>-</v>
          </cell>
        </row>
        <row r="650">
          <cell r="E650" t="str">
            <v>Depreciation</v>
          </cell>
          <cell r="U650" t="str">
            <v>-</v>
          </cell>
          <cell r="AB650" t="str">
            <v>-</v>
          </cell>
          <cell r="AI650" t="str">
            <v>-</v>
          </cell>
          <cell r="AP650" t="str">
            <v>-</v>
          </cell>
          <cell r="AX650" t="str">
            <v>Khấu hao</v>
          </cell>
          <cell r="BN650" t="str">
            <v>-</v>
          </cell>
          <cell r="BU650" t="str">
            <v>-</v>
          </cell>
          <cell r="CB650" t="str">
            <v>-</v>
          </cell>
          <cell r="CI650" t="str">
            <v>-</v>
          </cell>
          <cell r="CO650" t="str">
            <v>Depreciation</v>
          </cell>
          <cell r="DE650" t="str">
            <v>-</v>
          </cell>
          <cell r="DL650" t="str">
            <v>-</v>
          </cell>
          <cell r="DS650" t="str">
            <v>-</v>
          </cell>
          <cell r="DZ650" t="str">
            <v>-</v>
          </cell>
          <cell r="EE650" t="str">
            <v>Khấu hao</v>
          </cell>
          <cell r="EU650" t="str">
            <v>-</v>
          </cell>
          <cell r="FB650" t="str">
            <v>-</v>
          </cell>
          <cell r="FI650" t="str">
            <v>-</v>
          </cell>
          <cell r="FP650" t="str">
            <v>-</v>
          </cell>
        </row>
        <row r="651">
          <cell r="E651" t="str">
            <v>Other increases</v>
          </cell>
          <cell r="U651" t="str">
            <v>-</v>
          </cell>
          <cell r="AB651" t="str">
            <v>-</v>
          </cell>
          <cell r="AI651" t="str">
            <v>-</v>
          </cell>
          <cell r="AP651" t="str">
            <v>-</v>
          </cell>
          <cell r="AX651" t="str">
            <v>Tăng khác</v>
          </cell>
          <cell r="BN651" t="str">
            <v>-</v>
          </cell>
          <cell r="BU651" t="str">
            <v>-</v>
          </cell>
          <cell r="CB651" t="str">
            <v>-</v>
          </cell>
          <cell r="CI651" t="str">
            <v>-</v>
          </cell>
          <cell r="CO651" t="str">
            <v>Other increases</v>
          </cell>
          <cell r="DE651" t="str">
            <v>-</v>
          </cell>
          <cell r="DL651" t="str">
            <v>-</v>
          </cell>
          <cell r="DS651" t="str">
            <v>-</v>
          </cell>
          <cell r="DZ651" t="str">
            <v>-</v>
          </cell>
          <cell r="EE651" t="str">
            <v>Tăng khác</v>
          </cell>
          <cell r="EU651" t="str">
            <v>-</v>
          </cell>
          <cell r="FB651" t="str">
            <v>-</v>
          </cell>
          <cell r="FI651" t="str">
            <v>-</v>
          </cell>
          <cell r="FP651" t="str">
            <v>-</v>
          </cell>
        </row>
        <row r="652">
          <cell r="E652" t="str">
            <v>Transferred to</v>
          </cell>
          <cell r="U652" t="str">
            <v>-</v>
          </cell>
          <cell r="AB652" t="str">
            <v>-</v>
          </cell>
          <cell r="AI652" t="str">
            <v>-</v>
          </cell>
          <cell r="AP652" t="str">
            <v>-</v>
          </cell>
          <cell r="AX652" t="str">
            <v>Chuyển sang</v>
          </cell>
          <cell r="BN652" t="str">
            <v>-</v>
          </cell>
          <cell r="BU652" t="str">
            <v>-</v>
          </cell>
          <cell r="CB652" t="str">
            <v>-</v>
          </cell>
          <cell r="CI652" t="str">
            <v>-</v>
          </cell>
          <cell r="CO652" t="str">
            <v>Transferred to</v>
          </cell>
          <cell r="DE652" t="str">
            <v>-</v>
          </cell>
          <cell r="DL652" t="str">
            <v>-</v>
          </cell>
          <cell r="DS652" t="str">
            <v>-</v>
          </cell>
          <cell r="DZ652" t="str">
            <v>-</v>
          </cell>
          <cell r="EE652" t="str">
            <v>Chuyển sang</v>
          </cell>
          <cell r="EU652" t="str">
            <v>-</v>
          </cell>
          <cell r="FB652" t="str">
            <v>-</v>
          </cell>
          <cell r="FI652" t="str">
            <v>-</v>
          </cell>
          <cell r="FP652" t="str">
            <v>-</v>
          </cell>
        </row>
        <row r="653">
          <cell r="E653" t="str">
            <v>real estate merchandise</v>
          </cell>
          <cell r="AX653" t="str">
            <v>hàng hóa bất động sản</v>
          </cell>
          <cell r="CO653" t="str">
            <v>real estate merchandise</v>
          </cell>
          <cell r="EE653" t="str">
            <v>hàng hóa bất động sản</v>
          </cell>
        </row>
        <row r="654">
          <cell r="E654" t="str">
            <v>Disposed</v>
          </cell>
          <cell r="U654" t="str">
            <v>-</v>
          </cell>
          <cell r="AB654" t="str">
            <v>-</v>
          </cell>
          <cell r="AI654" t="str">
            <v>-</v>
          </cell>
          <cell r="AP654" t="str">
            <v>-</v>
          </cell>
          <cell r="AX654" t="str">
            <v>Thanh lý</v>
          </cell>
          <cell r="BN654" t="str">
            <v>-</v>
          </cell>
          <cell r="BU654" t="str">
            <v>-</v>
          </cell>
          <cell r="CB654" t="str">
            <v>-</v>
          </cell>
          <cell r="CI654" t="str">
            <v>-</v>
          </cell>
          <cell r="CO654" t="str">
            <v>Disposed</v>
          </cell>
          <cell r="DE654" t="str">
            <v>-</v>
          </cell>
          <cell r="DL654" t="str">
            <v>-</v>
          </cell>
          <cell r="DS654" t="str">
            <v>-</v>
          </cell>
          <cell r="DZ654" t="str">
            <v>-</v>
          </cell>
          <cell r="EE654" t="str">
            <v>Thanh lý</v>
          </cell>
          <cell r="EU654" t="str">
            <v>-</v>
          </cell>
          <cell r="FB654" t="str">
            <v>-</v>
          </cell>
          <cell r="FI654" t="str">
            <v>-</v>
          </cell>
          <cell r="FP654" t="str">
            <v>-</v>
          </cell>
        </row>
        <row r="655">
          <cell r="E655" t="str">
            <v>Other decreases</v>
          </cell>
          <cell r="U655" t="str">
            <v>-</v>
          </cell>
          <cell r="AB655" t="str">
            <v>-</v>
          </cell>
          <cell r="AI655" t="str">
            <v>-</v>
          </cell>
          <cell r="AP655" t="str">
            <v>-</v>
          </cell>
          <cell r="AX655" t="str">
            <v>Giảm khác</v>
          </cell>
          <cell r="BN655" t="str">
            <v>-</v>
          </cell>
          <cell r="BU655" t="str">
            <v>-</v>
          </cell>
          <cell r="CB655" t="str">
            <v>-</v>
          </cell>
          <cell r="CI655" t="str">
            <v>-</v>
          </cell>
          <cell r="CO655" t="str">
            <v>Other decreases</v>
          </cell>
          <cell r="DE655" t="str">
            <v>-</v>
          </cell>
          <cell r="DL655" t="str">
            <v>-</v>
          </cell>
          <cell r="DS655" t="str">
            <v>-</v>
          </cell>
          <cell r="DZ655" t="str">
            <v>-</v>
          </cell>
          <cell r="EE655" t="str">
            <v>Giảm khác</v>
          </cell>
          <cell r="EU655" t="str">
            <v>-</v>
          </cell>
          <cell r="FB655" t="str">
            <v>-</v>
          </cell>
          <cell r="FI655" t="str">
            <v>-</v>
          </cell>
          <cell r="FP655" t="str">
            <v>-</v>
          </cell>
        </row>
        <row r="656">
          <cell r="CO656" t="str">
            <v>FX difference (*)</v>
          </cell>
          <cell r="DE656" t="str">
            <v>-</v>
          </cell>
          <cell r="DL656" t="str">
            <v>-</v>
          </cell>
          <cell r="DS656" t="str">
            <v>-</v>
          </cell>
          <cell r="DZ656" t="str">
            <v>-</v>
          </cell>
          <cell r="EE656" t="str">
            <v>CLTG (*)</v>
          </cell>
          <cell r="EU656" t="str">
            <v>-</v>
          </cell>
          <cell r="FB656" t="str">
            <v>-</v>
          </cell>
          <cell r="FI656" t="str">
            <v>-</v>
          </cell>
          <cell r="FP656" t="str">
            <v>-</v>
          </cell>
        </row>
        <row r="657">
          <cell r="E657" t="str">
            <v>Ending balance</v>
          </cell>
          <cell r="U657" t="str">
            <v>-</v>
          </cell>
          <cell r="AB657" t="str">
            <v>-</v>
          </cell>
          <cell r="AI657" t="str">
            <v>-</v>
          </cell>
          <cell r="AP657" t="str">
            <v>-</v>
          </cell>
          <cell r="AX657" t="str">
            <v>Số dư cuối năm</v>
          </cell>
          <cell r="BN657" t="str">
            <v>-</v>
          </cell>
          <cell r="BU657" t="str">
            <v>-</v>
          </cell>
          <cell r="CB657" t="str">
            <v>-</v>
          </cell>
          <cell r="CI657" t="str">
            <v>-</v>
          </cell>
          <cell r="CO657" t="str">
            <v>Ending balance</v>
          </cell>
          <cell r="DE657" t="str">
            <v>-</v>
          </cell>
          <cell r="DL657" t="str">
            <v>-</v>
          </cell>
          <cell r="DS657" t="str">
            <v>-</v>
          </cell>
          <cell r="DZ657" t="str">
            <v>-</v>
          </cell>
          <cell r="EE657" t="str">
            <v>Số dư cuối năm</v>
          </cell>
          <cell r="EU657" t="str">
            <v>-</v>
          </cell>
          <cell r="FB657" t="str">
            <v>-</v>
          </cell>
          <cell r="FI657" t="str">
            <v>-</v>
          </cell>
          <cell r="FP657" t="str">
            <v>-</v>
          </cell>
        </row>
        <row r="659">
          <cell r="E659" t="str">
            <v>Net book value</v>
          </cell>
          <cell r="AX659" t="str">
            <v>Giá trị còn lại</v>
          </cell>
          <cell r="CO659" t="str">
            <v>Net book value</v>
          </cell>
          <cell r="EE659" t="str">
            <v>Giá trị còn lại</v>
          </cell>
        </row>
        <row r="660">
          <cell r="E660" t="str">
            <v>Beginning balance</v>
          </cell>
          <cell r="U660" t="str">
            <v>-</v>
          </cell>
          <cell r="AB660" t="str">
            <v>-</v>
          </cell>
          <cell r="AI660" t="str">
            <v>-</v>
          </cell>
          <cell r="AP660" t="str">
            <v>-</v>
          </cell>
          <cell r="AX660" t="str">
            <v>Tại ngày đầu năm</v>
          </cell>
          <cell r="BN660" t="str">
            <v>-</v>
          </cell>
          <cell r="BU660" t="str">
            <v>-</v>
          </cell>
          <cell r="CB660" t="str">
            <v>-</v>
          </cell>
          <cell r="CI660" t="str">
            <v>-</v>
          </cell>
          <cell r="CO660" t="str">
            <v>Beginning balance</v>
          </cell>
          <cell r="DE660" t="str">
            <v>-</v>
          </cell>
          <cell r="DL660" t="str">
            <v>-</v>
          </cell>
          <cell r="DS660" t="str">
            <v>-</v>
          </cell>
          <cell r="DZ660" t="str">
            <v>-</v>
          </cell>
          <cell r="EE660" t="str">
            <v>Tại ngày đầu năm</v>
          </cell>
          <cell r="EU660" t="str">
            <v>-</v>
          </cell>
          <cell r="FB660" t="str">
            <v>-</v>
          </cell>
          <cell r="FI660" t="str">
            <v>-</v>
          </cell>
          <cell r="FP660" t="str">
            <v>-</v>
          </cell>
        </row>
        <row r="661">
          <cell r="E661" t="str">
            <v>Ending balance</v>
          </cell>
          <cell r="U661" t="str">
            <v>-</v>
          </cell>
          <cell r="AB661" t="str">
            <v>-</v>
          </cell>
          <cell r="AI661" t="str">
            <v>-</v>
          </cell>
          <cell r="AP661" t="str">
            <v>-</v>
          </cell>
          <cell r="AX661" t="str">
            <v>Tại ngày cuối năm</v>
          </cell>
          <cell r="BN661" t="str">
            <v>-</v>
          </cell>
          <cell r="BU661" t="str">
            <v>-</v>
          </cell>
          <cell r="CB661" t="str">
            <v>-</v>
          </cell>
          <cell r="CI661" t="str">
            <v>-</v>
          </cell>
          <cell r="CO661" t="str">
            <v>Ending balance</v>
          </cell>
          <cell r="DE661" t="str">
            <v>-</v>
          </cell>
          <cell r="DL661" t="str">
            <v>-</v>
          </cell>
          <cell r="DS661" t="str">
            <v>-</v>
          </cell>
          <cell r="DZ661" t="str">
            <v>-</v>
          </cell>
          <cell r="EE661" t="str">
            <v>Tại ngày cuối năm</v>
          </cell>
          <cell r="EU661" t="str">
            <v>-</v>
          </cell>
          <cell r="FB661" t="str">
            <v>-</v>
          </cell>
          <cell r="FI661" t="str">
            <v>-</v>
          </cell>
          <cell r="FP661" t="str">
            <v>-</v>
          </cell>
        </row>
        <row r="663">
          <cell r="E663" t="str">
            <v>As at 31 March 2024, total cost of investment properties that have been fully depreciated but still in use is VND xxx,xxx,xxx.</v>
          </cell>
          <cell r="AX663" t="str">
            <v>Tại ngày 31 tháng 03 năm 2024, tổng nguyên giá bất động sản đầu tư đã khấu hao hết nhưng vẫn còn sử dụng là xxx.xxx.xxx VND.</v>
          </cell>
          <cell r="CO663" t="str">
            <v>As at 31 March 2024, total cost of investment properties that have been fully depreciated but still in use is VND xxx,xxx,xxx.</v>
          </cell>
          <cell r="EE663" t="str">
            <v>Tại ngày 31 tháng 03 năm 2024, tổng nguyên giá bất động sản đầu tư đã khấu hao hết nhưng vẫn còn sử dụng là xxx.xxx.xxx VND.</v>
          </cell>
        </row>
        <row r="666">
          <cell r="E666" t="str">
            <v>As at 31 March 2024, total cost of investment properties awaiting for disposal is VND xxx,xxx,xxx.</v>
          </cell>
          <cell r="AX666" t="str">
            <v>Tại ngày 31 tháng 03 năm 2024, tổng nguyên giá bất động sản đầu tư chờ thanh lý là xxx.xxx.xxx VND.</v>
          </cell>
          <cell r="CO666" t="str">
            <v>As at 31 March 2024, total cost of investment properties awaiting for disposal is VND xxx,xxx,xxx.</v>
          </cell>
          <cell r="EE666" t="str">
            <v>Tại ngày 31 tháng 03 năm 2024, tổng nguyên giá bất động sản đầu tư chờ thanh lý là xxx.xxx.xxx VND.</v>
          </cell>
        </row>
        <row r="668">
          <cell r="CO668" t="str">
            <v>FX difference (*): derived from the difference between exchange rates applied to translate.</v>
          </cell>
          <cell r="EE668" t="str">
            <v>CLTG (*): phát sinh do sự khác nhau giữa các tỷ giá áp dụng để chuyển đổi.</v>
          </cell>
        </row>
        <row r="670">
          <cell r="D670" t="str">
            <v>b.</v>
          </cell>
          <cell r="E670" t="str">
            <v>Held-for-sale investment property</v>
          </cell>
          <cell r="AW670" t="str">
            <v>b.</v>
          </cell>
          <cell r="AX670" t="str">
            <v>Bất động sản đầu tư nắm giữ chờ tăng giá</v>
          </cell>
          <cell r="CN670" t="str">
            <v>b.</v>
          </cell>
          <cell r="CO670" t="str">
            <v>Held-for-sale investment property</v>
          </cell>
          <cell r="ED670" t="str">
            <v>b.</v>
          </cell>
          <cell r="EE670" t="str">
            <v>Bất động sản đầu tư nắm giữ chờ tăng giá</v>
          </cell>
        </row>
        <row r="672">
          <cell r="Z672" t="str">
            <v>Ending bal'</v>
          </cell>
          <cell r="AI672" t="str">
            <v>Beginning bal'</v>
          </cell>
          <cell r="BS672" t="str">
            <v>Số cuối năm</v>
          </cell>
          <cell r="CB672" t="str">
            <v>Số đầu năm</v>
          </cell>
          <cell r="DJ672" t="str">
            <v>Ending bal'</v>
          </cell>
          <cell r="DS672" t="str">
            <v>Beginning bal'</v>
          </cell>
          <cell r="EZ672" t="str">
            <v>Số cuối năm</v>
          </cell>
          <cell r="FI672" t="str">
            <v>Số đầu năm</v>
          </cell>
        </row>
        <row r="674">
          <cell r="E674" t="str">
            <v>Apartment A</v>
          </cell>
          <cell r="Z674">
            <v>0</v>
          </cell>
          <cell r="AI674">
            <v>0</v>
          </cell>
          <cell r="AR674">
            <v>0</v>
          </cell>
          <cell r="AS674">
            <v>0</v>
          </cell>
          <cell r="AX674" t="str">
            <v>Chung cư A</v>
          </cell>
          <cell r="BS674">
            <v>0</v>
          </cell>
          <cell r="CB674">
            <v>0</v>
          </cell>
          <cell r="CO674" t="str">
            <v>Apartment A</v>
          </cell>
          <cell r="DJ674">
            <v>0</v>
          </cell>
          <cell r="DS674">
            <v>0</v>
          </cell>
          <cell r="EE674" t="str">
            <v>Chung cư A</v>
          </cell>
          <cell r="EZ674">
            <v>0</v>
          </cell>
          <cell r="FI674">
            <v>0</v>
          </cell>
        </row>
        <row r="675">
          <cell r="E675" t="str">
            <v>Total</v>
          </cell>
          <cell r="Z675">
            <v>0</v>
          </cell>
          <cell r="AI675">
            <v>0</v>
          </cell>
          <cell r="AX675" t="str">
            <v>Tổng cộng</v>
          </cell>
          <cell r="BS675">
            <v>0</v>
          </cell>
          <cell r="CB675">
            <v>0</v>
          </cell>
          <cell r="CO675" t="str">
            <v>Total</v>
          </cell>
          <cell r="DJ675">
            <v>0</v>
          </cell>
          <cell r="DS675">
            <v>0</v>
          </cell>
          <cell r="EE675" t="str">
            <v>Tổng cộng</v>
          </cell>
          <cell r="EZ675">
            <v>0</v>
          </cell>
          <cell r="FI675">
            <v>0</v>
          </cell>
        </row>
        <row r="676">
          <cell r="E676" t="str">
            <v>Checking point</v>
          </cell>
          <cell r="Z676">
            <v>0</v>
          </cell>
          <cell r="AI676">
            <v>0</v>
          </cell>
          <cell r="AX676" t="str">
            <v>Checking point</v>
          </cell>
          <cell r="BS676">
            <v>0</v>
          </cell>
          <cell r="CB676">
            <v>0</v>
          </cell>
          <cell r="CO676" t="str">
            <v>Checking point</v>
          </cell>
          <cell r="DJ676">
            <v>0</v>
          </cell>
          <cell r="DS676">
            <v>0</v>
          </cell>
          <cell r="EE676" t="str">
            <v>Checking point</v>
          </cell>
          <cell r="EZ676">
            <v>0</v>
          </cell>
          <cell r="FI676">
            <v>0</v>
          </cell>
        </row>
        <row r="678">
          <cell r="E678" t="str">
            <v>As at 31 December 2014, (Investment property for lease)/ (Held-for-sale investment property) with the carrying amount of USD XXX (as at 31 December 2013: XXX USD) are pledged to secure bank loans of the Company.</v>
          </cell>
          <cell r="AX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cell r="CO678" t="str">
            <v>As at 31 December 2014, (Investment property for lease)/ (Held-for-sale investment property) with the carrying amount of USD XXX (as at 31 December 2013: XXX USD) are pledged to secure bank loans of the Company.</v>
          </cell>
          <cell r="EE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row>
        <row r="682">
          <cell r="E682" t="str">
            <v>As at 31 March 2024, total cost of investment property that have been fully depreciated but still be leased /held for sale is VND xxx,xxx,xxx.</v>
          </cell>
          <cell r="AX682" t="str">
            <v>Tại ngày 31 tháng 03 năm 2024, tổng nguyên giá bất động sản đầu tư nắm giữ chờ tăng giá /bất động sản đầu tư cho thuê đã khấu hao hết nhưng vẫn còn cho thuê/ nắm giữ chờ tăng giá là xxx.xxx.xxx VND.</v>
          </cell>
          <cell r="CO682" t="str">
            <v>As at 31 March 2024, total cost of investment property that have been fully depreciated but still be leased /held for sale is VND xxx,xxx,xxx.</v>
          </cell>
          <cell r="EE682" t="str">
            <v>Tại ngày 31 tháng 03 năm 2024, tổng nguyên giá bất động sản đầu tư nắm giữ chờ tăng giá /bất động sản đầu tư cho thuê đã khấu hao hết nhưng vẫn còn cho thuê/ nắm giữ chờ tăng giá là xxx.xxx.xxx VND.</v>
          </cell>
        </row>
      </sheetData>
      <sheetData sheetId="8">
        <row r="255">
          <cell r="Z255" t="str">
            <v>Current year</v>
          </cell>
          <cell r="BS255" t="str">
            <v>Năm nay</v>
          </cell>
        </row>
        <row r="258">
          <cell r="Z258">
            <v>0</v>
          </cell>
          <cell r="BS258">
            <v>0</v>
          </cell>
        </row>
        <row r="259">
          <cell r="Z259">
            <v>0</v>
          </cell>
          <cell r="BS259">
            <v>0</v>
          </cell>
        </row>
        <row r="260">
          <cell r="Z260">
            <v>0</v>
          </cell>
          <cell r="BS260">
            <v>0</v>
          </cell>
        </row>
        <row r="261">
          <cell r="Z261">
            <v>0</v>
          </cell>
          <cell r="BS261">
            <v>0</v>
          </cell>
        </row>
        <row r="262">
          <cell r="Z262">
            <v>0</v>
          </cell>
          <cell r="BS262">
            <v>0</v>
          </cell>
        </row>
        <row r="263">
          <cell r="Z263">
            <v>0</v>
          </cell>
          <cell r="BS263">
            <v>0</v>
          </cell>
        </row>
        <row r="264">
          <cell r="Z264">
            <v>0</v>
          </cell>
          <cell r="BS264">
            <v>0</v>
          </cell>
        </row>
        <row r="1027">
          <cell r="Z1027" t="str">
            <v>Current year</v>
          </cell>
          <cell r="BS1027" t="str">
            <v>Năm nay</v>
          </cell>
          <cell r="DJ1027" t="str">
            <v>Current year</v>
          </cell>
          <cell r="EZ1027" t="str">
            <v>Năm nay</v>
          </cell>
        </row>
        <row r="1030">
          <cell r="Z1030">
            <v>0</v>
          </cell>
          <cell r="BS1030">
            <v>0</v>
          </cell>
          <cell r="DJ1030">
            <v>0</v>
          </cell>
          <cell r="EZ1030">
            <v>0</v>
          </cell>
        </row>
        <row r="1031">
          <cell r="Z1031">
            <v>0</v>
          </cell>
          <cell r="BS1031">
            <v>0</v>
          </cell>
          <cell r="DJ1031">
            <v>0</v>
          </cell>
          <cell r="EZ1031">
            <v>0</v>
          </cell>
        </row>
        <row r="1032">
          <cell r="Z1032">
            <v>0</v>
          </cell>
          <cell r="BS1032">
            <v>0</v>
          </cell>
          <cell r="DJ1032">
            <v>0</v>
          </cell>
          <cell r="EZ1032">
            <v>0</v>
          </cell>
        </row>
        <row r="1033">
          <cell r="Z1033">
            <v>0</v>
          </cell>
          <cell r="BS1033">
            <v>0</v>
          </cell>
          <cell r="DJ1033">
            <v>0</v>
          </cell>
          <cell r="EZ1033">
            <v>0</v>
          </cell>
        </row>
        <row r="1034">
          <cell r="Z1034">
            <v>0</v>
          </cell>
          <cell r="BS1034">
            <v>0</v>
          </cell>
          <cell r="DJ1034">
            <v>0</v>
          </cell>
          <cell r="EZ1034">
            <v>0</v>
          </cell>
        </row>
        <row r="1035">
          <cell r="Z1035">
            <v>0</v>
          </cell>
          <cell r="BS1035">
            <v>0</v>
          </cell>
          <cell r="DJ1035">
            <v>0</v>
          </cell>
          <cell r="EZ1035">
            <v>0</v>
          </cell>
        </row>
        <row r="1036">
          <cell r="Z1036">
            <v>0</v>
          </cell>
          <cell r="BS1036">
            <v>0</v>
          </cell>
          <cell r="DJ1036">
            <v>0</v>
          </cell>
          <cell r="EZ1036">
            <v>0</v>
          </cell>
        </row>
        <row r="1037">
          <cell r="Z1037">
            <v>0</v>
          </cell>
          <cell r="BS1037">
            <v>0</v>
          </cell>
          <cell r="DJ1037">
            <v>0</v>
          </cell>
          <cell r="EZ1037">
            <v>0</v>
          </cell>
        </row>
        <row r="1038">
          <cell r="Z1038">
            <v>0</v>
          </cell>
          <cell r="BS1038">
            <v>0</v>
          </cell>
          <cell r="DJ1038">
            <v>0</v>
          </cell>
          <cell r="EZ1038">
            <v>0</v>
          </cell>
        </row>
        <row r="1039">
          <cell r="Z1039">
            <v>0</v>
          </cell>
          <cell r="BS1039">
            <v>0</v>
          </cell>
          <cell r="DJ1039">
            <v>0</v>
          </cell>
          <cell r="EZ1039">
            <v>0</v>
          </cell>
        </row>
        <row r="1044">
          <cell r="Z1044" t="str">
            <v>Current year</v>
          </cell>
          <cell r="BS1044" t="str">
            <v>Năm nay</v>
          </cell>
          <cell r="DJ1044" t="str">
            <v>Current year</v>
          </cell>
          <cell r="EZ1044" t="str">
            <v>Năm nay</v>
          </cell>
        </row>
        <row r="1047">
          <cell r="Z1047">
            <v>0</v>
          </cell>
          <cell r="BS1047">
            <v>0</v>
          </cell>
          <cell r="DJ1047">
            <v>0</v>
          </cell>
          <cell r="EZ1047">
            <v>0</v>
          </cell>
        </row>
        <row r="1048">
          <cell r="Z1048">
            <v>0</v>
          </cell>
          <cell r="BS1048">
            <v>0</v>
          </cell>
          <cell r="DJ1048">
            <v>0</v>
          </cell>
          <cell r="EZ1048">
            <v>0</v>
          </cell>
        </row>
        <row r="1049">
          <cell r="Z1049">
            <v>0</v>
          </cell>
          <cell r="BS1049">
            <v>0</v>
          </cell>
          <cell r="DJ1049">
            <v>0</v>
          </cell>
          <cell r="EZ1049">
            <v>0</v>
          </cell>
        </row>
        <row r="1050">
          <cell r="Z1050">
            <v>0</v>
          </cell>
          <cell r="BS1050">
            <v>0</v>
          </cell>
          <cell r="DJ1050">
            <v>0</v>
          </cell>
          <cell r="EZ1050">
            <v>0</v>
          </cell>
        </row>
        <row r="1051">
          <cell r="Z1051">
            <v>0</v>
          </cell>
          <cell r="BS1051">
            <v>0</v>
          </cell>
          <cell r="DJ1051">
            <v>0</v>
          </cell>
          <cell r="EZ1051">
            <v>0</v>
          </cell>
        </row>
        <row r="1052">
          <cell r="Z1052">
            <v>0</v>
          </cell>
          <cell r="BS1052">
            <v>0</v>
          </cell>
          <cell r="DJ1052">
            <v>0</v>
          </cell>
          <cell r="EZ1052">
            <v>0</v>
          </cell>
        </row>
        <row r="1053">
          <cell r="Z1053">
            <v>0</v>
          </cell>
          <cell r="BS1053">
            <v>0</v>
          </cell>
          <cell r="DJ1053">
            <v>0</v>
          </cell>
          <cell r="EZ1053">
            <v>0</v>
          </cell>
        </row>
        <row r="1058">
          <cell r="Z1058" t="str">
            <v>Current year</v>
          </cell>
          <cell r="BS1058" t="str">
            <v>Năm nay</v>
          </cell>
          <cell r="DJ1058" t="str">
            <v>Current year</v>
          </cell>
          <cell r="EZ1058" t="str">
            <v>Năm nay</v>
          </cell>
        </row>
        <row r="1061">
          <cell r="Z1061">
            <v>0</v>
          </cell>
          <cell r="BS1061">
            <v>0</v>
          </cell>
          <cell r="DJ1061">
            <v>0</v>
          </cell>
          <cell r="EZ1061">
            <v>0</v>
          </cell>
        </row>
        <row r="1062">
          <cell r="Z1062">
            <v>0</v>
          </cell>
          <cell r="BS1062">
            <v>0</v>
          </cell>
          <cell r="DJ1062">
            <v>0</v>
          </cell>
          <cell r="EZ1062">
            <v>0</v>
          </cell>
        </row>
        <row r="1063">
          <cell r="Z1063">
            <v>0</v>
          </cell>
          <cell r="BS1063">
            <v>0</v>
          </cell>
          <cell r="DJ1063">
            <v>0</v>
          </cell>
          <cell r="EZ1063">
            <v>0</v>
          </cell>
        </row>
        <row r="1064">
          <cell r="Z1064">
            <v>0</v>
          </cell>
          <cell r="BS1064">
            <v>0</v>
          </cell>
          <cell r="DJ1064">
            <v>0</v>
          </cell>
          <cell r="EZ1064">
            <v>0</v>
          </cell>
        </row>
        <row r="1065">
          <cell r="Z1065">
            <v>0</v>
          </cell>
          <cell r="BS1065">
            <v>0</v>
          </cell>
          <cell r="DJ1065">
            <v>0</v>
          </cell>
          <cell r="EZ1065">
            <v>0</v>
          </cell>
        </row>
        <row r="1066">
          <cell r="Z1066">
            <v>0</v>
          </cell>
          <cell r="BS1066">
            <v>0</v>
          </cell>
          <cell r="DJ1066">
            <v>0</v>
          </cell>
          <cell r="EZ1066">
            <v>0</v>
          </cell>
        </row>
        <row r="1067">
          <cell r="Z1067">
            <v>0</v>
          </cell>
          <cell r="BS1067">
            <v>0</v>
          </cell>
          <cell r="DJ1067">
            <v>0</v>
          </cell>
          <cell r="EZ1067">
            <v>0</v>
          </cell>
        </row>
        <row r="1068">
          <cell r="Z1068">
            <v>0</v>
          </cell>
          <cell r="BS1068">
            <v>0</v>
          </cell>
          <cell r="DJ1068">
            <v>0</v>
          </cell>
          <cell r="EZ1068">
            <v>0</v>
          </cell>
        </row>
        <row r="1073">
          <cell r="Z1073" t="str">
            <v>Current year</v>
          </cell>
          <cell r="BS1073" t="str">
            <v>Năm nay</v>
          </cell>
          <cell r="DJ1073" t="str">
            <v>Current year</v>
          </cell>
          <cell r="EZ1073" t="str">
            <v>Năm nay</v>
          </cell>
        </row>
        <row r="1076">
          <cell r="Z1076">
            <v>0</v>
          </cell>
          <cell r="BS1076">
            <v>0</v>
          </cell>
          <cell r="DJ1076">
            <v>0</v>
          </cell>
          <cell r="EZ1076">
            <v>0</v>
          </cell>
        </row>
        <row r="1077">
          <cell r="Z1077">
            <v>0</v>
          </cell>
          <cell r="BS1077">
            <v>0</v>
          </cell>
          <cell r="DJ1077">
            <v>0</v>
          </cell>
          <cell r="EZ1077">
            <v>0</v>
          </cell>
        </row>
        <row r="1078">
          <cell r="Z1078">
            <v>0</v>
          </cell>
          <cell r="BS1078">
            <v>0</v>
          </cell>
          <cell r="DJ1078">
            <v>0</v>
          </cell>
          <cell r="EZ1078">
            <v>0</v>
          </cell>
        </row>
        <row r="1079">
          <cell r="Z1079">
            <v>0</v>
          </cell>
          <cell r="BS1079">
            <v>0</v>
          </cell>
          <cell r="DJ1079">
            <v>0</v>
          </cell>
          <cell r="EZ1079">
            <v>0</v>
          </cell>
        </row>
        <row r="1080">
          <cell r="Z1080">
            <v>0</v>
          </cell>
          <cell r="BS1080">
            <v>0</v>
          </cell>
          <cell r="DJ1080">
            <v>0</v>
          </cell>
          <cell r="EZ1080">
            <v>0</v>
          </cell>
        </row>
        <row r="1081">
          <cell r="Z1081">
            <v>0</v>
          </cell>
          <cell r="BS1081">
            <v>0</v>
          </cell>
          <cell r="DJ1081">
            <v>0</v>
          </cell>
          <cell r="EZ1081">
            <v>0</v>
          </cell>
        </row>
        <row r="1082">
          <cell r="Z1082">
            <v>0</v>
          </cell>
          <cell r="BS1082">
            <v>0</v>
          </cell>
          <cell r="DJ1082">
            <v>0</v>
          </cell>
          <cell r="EZ1082">
            <v>0</v>
          </cell>
        </row>
        <row r="1083">
          <cell r="Z1083">
            <v>0</v>
          </cell>
          <cell r="BS1083">
            <v>0</v>
          </cell>
          <cell r="DJ1083">
            <v>0</v>
          </cell>
          <cell r="EZ1083">
            <v>0</v>
          </cell>
        </row>
        <row r="1084">
          <cell r="Z1084">
            <v>0</v>
          </cell>
          <cell r="BS1084">
            <v>0</v>
          </cell>
          <cell r="DJ1084">
            <v>0</v>
          </cell>
          <cell r="EZ1084">
            <v>0</v>
          </cell>
        </row>
        <row r="1086">
          <cell r="Z1086">
            <v>0</v>
          </cell>
          <cell r="BS1086">
            <v>0</v>
          </cell>
          <cell r="DJ1086">
            <v>0</v>
          </cell>
          <cell r="EZ1086">
            <v>0</v>
          </cell>
        </row>
        <row r="1087">
          <cell r="Z1087">
            <v>0</v>
          </cell>
          <cell r="BS1087">
            <v>0</v>
          </cell>
          <cell r="DJ1087">
            <v>0</v>
          </cell>
          <cell r="EZ1087">
            <v>0</v>
          </cell>
        </row>
        <row r="1092">
          <cell r="Z1092" t="str">
            <v>Current year</v>
          </cell>
          <cell r="BS1092" t="str">
            <v>Năm nay</v>
          </cell>
          <cell r="DJ1092" t="str">
            <v>Current year</v>
          </cell>
          <cell r="EZ1092" t="str">
            <v>Năm nay</v>
          </cell>
        </row>
        <row r="1095">
          <cell r="Z1095">
            <v>0</v>
          </cell>
          <cell r="BS1095">
            <v>0</v>
          </cell>
          <cell r="DJ1095">
            <v>0</v>
          </cell>
          <cell r="EZ1095">
            <v>0</v>
          </cell>
        </row>
        <row r="1096">
          <cell r="Z1096">
            <v>0</v>
          </cell>
          <cell r="BS1096">
            <v>0</v>
          </cell>
          <cell r="DJ1096">
            <v>0</v>
          </cell>
          <cell r="EZ1096">
            <v>0</v>
          </cell>
        </row>
        <row r="1097">
          <cell r="Z1097">
            <v>0</v>
          </cell>
          <cell r="BS1097">
            <v>0</v>
          </cell>
          <cell r="DJ1097">
            <v>0</v>
          </cell>
          <cell r="EZ1097">
            <v>0</v>
          </cell>
        </row>
        <row r="1098">
          <cell r="Z1098">
            <v>0</v>
          </cell>
          <cell r="BS1098">
            <v>0</v>
          </cell>
          <cell r="DJ1098">
            <v>0</v>
          </cell>
          <cell r="EZ1098">
            <v>0</v>
          </cell>
        </row>
        <row r="1099">
          <cell r="Z1099">
            <v>0</v>
          </cell>
          <cell r="BS1099">
            <v>0</v>
          </cell>
          <cell r="DJ1099">
            <v>0</v>
          </cell>
          <cell r="EZ1099">
            <v>0</v>
          </cell>
        </row>
        <row r="1100">
          <cell r="Z1100">
            <v>0</v>
          </cell>
          <cell r="BS1100">
            <v>0</v>
          </cell>
          <cell r="DJ1100">
            <v>0</v>
          </cell>
          <cell r="EZ1100">
            <v>0</v>
          </cell>
        </row>
        <row r="1101">
          <cell r="Z1101">
            <v>0</v>
          </cell>
          <cell r="BS1101">
            <v>0</v>
          </cell>
          <cell r="DJ1101">
            <v>0</v>
          </cell>
          <cell r="EZ1101">
            <v>0</v>
          </cell>
        </row>
        <row r="1103">
          <cell r="Z1103">
            <v>0</v>
          </cell>
          <cell r="BS1103">
            <v>0</v>
          </cell>
          <cell r="DJ1103">
            <v>0</v>
          </cell>
          <cell r="EZ1103">
            <v>0</v>
          </cell>
        </row>
        <row r="1104">
          <cell r="Z1104">
            <v>0</v>
          </cell>
          <cell r="BS1104">
            <v>0</v>
          </cell>
          <cell r="DJ1104">
            <v>0</v>
          </cell>
          <cell r="EZ1104">
            <v>0</v>
          </cell>
        </row>
        <row r="1109">
          <cell r="Z1109" t="str">
            <v>Current year</v>
          </cell>
          <cell r="BS1109" t="str">
            <v>Năm nay</v>
          </cell>
          <cell r="DJ1109" t="str">
            <v>Current year</v>
          </cell>
          <cell r="EZ1109" t="str">
            <v>Năm nay</v>
          </cell>
        </row>
        <row r="1112">
          <cell r="Z1112">
            <v>0</v>
          </cell>
          <cell r="BS1112">
            <v>0</v>
          </cell>
          <cell r="DJ1112">
            <v>0</v>
          </cell>
          <cell r="EZ1112">
            <v>0</v>
          </cell>
        </row>
        <row r="1113">
          <cell r="Z1113">
            <v>0</v>
          </cell>
          <cell r="BS1113">
            <v>0</v>
          </cell>
          <cell r="DJ1113">
            <v>0</v>
          </cell>
          <cell r="EZ1113">
            <v>0</v>
          </cell>
        </row>
        <row r="1114">
          <cell r="Z1114">
            <v>0</v>
          </cell>
          <cell r="BS1114">
            <v>0</v>
          </cell>
          <cell r="DJ1114">
            <v>0</v>
          </cell>
          <cell r="EZ1114">
            <v>0</v>
          </cell>
        </row>
        <row r="1115">
          <cell r="Z1115">
            <v>0</v>
          </cell>
          <cell r="BS1115">
            <v>0</v>
          </cell>
          <cell r="DJ1115">
            <v>0</v>
          </cell>
          <cell r="EZ1115">
            <v>0</v>
          </cell>
        </row>
        <row r="1116">
          <cell r="Z1116">
            <v>0</v>
          </cell>
          <cell r="BS1116">
            <v>0</v>
          </cell>
          <cell r="DJ1116">
            <v>0</v>
          </cell>
          <cell r="EZ1116">
            <v>0</v>
          </cell>
        </row>
        <row r="1117">
          <cell r="Z1117">
            <v>0</v>
          </cell>
          <cell r="BS1117">
            <v>0</v>
          </cell>
          <cell r="DJ1117">
            <v>0</v>
          </cell>
          <cell r="EZ1117">
            <v>0</v>
          </cell>
        </row>
        <row r="1118">
          <cell r="Z1118">
            <v>0</v>
          </cell>
          <cell r="BS1118">
            <v>0</v>
          </cell>
          <cell r="DJ1118">
            <v>0</v>
          </cell>
          <cell r="EZ1118">
            <v>0</v>
          </cell>
        </row>
        <row r="1120">
          <cell r="Z1120">
            <v>0</v>
          </cell>
          <cell r="BS1120">
            <v>0</v>
          </cell>
          <cell r="DJ1120">
            <v>0</v>
          </cell>
          <cell r="EZ1120">
            <v>0</v>
          </cell>
        </row>
        <row r="1121">
          <cell r="Z1121">
            <v>0</v>
          </cell>
          <cell r="BS1121">
            <v>0</v>
          </cell>
          <cell r="DJ1121">
            <v>0</v>
          </cell>
          <cell r="EZ1121">
            <v>0</v>
          </cell>
        </row>
        <row r="1122">
          <cell r="Z1122">
            <v>0</v>
          </cell>
          <cell r="BS1122">
            <v>0</v>
          </cell>
          <cell r="DJ1122">
            <v>0</v>
          </cell>
          <cell r="EZ1122">
            <v>0</v>
          </cell>
        </row>
        <row r="1127">
          <cell r="Z1127" t="str">
            <v>Current year</v>
          </cell>
          <cell r="BS1127" t="str">
            <v>Năm nay</v>
          </cell>
        </row>
        <row r="1130">
          <cell r="Z1130">
            <v>0</v>
          </cell>
          <cell r="BS1130">
            <v>0</v>
          </cell>
        </row>
        <row r="1131">
          <cell r="Z1131">
            <v>0</v>
          </cell>
          <cell r="BS1131">
            <v>0</v>
          </cell>
        </row>
        <row r="1132">
          <cell r="Z1132">
            <v>0</v>
          </cell>
          <cell r="BS1132">
            <v>0</v>
          </cell>
        </row>
        <row r="1133">
          <cell r="Z1133">
            <v>0</v>
          </cell>
          <cell r="BS1133">
            <v>0</v>
          </cell>
        </row>
        <row r="1134">
          <cell r="Z1134">
            <v>0</v>
          </cell>
          <cell r="BS1134">
            <v>0</v>
          </cell>
        </row>
        <row r="1135">
          <cell r="Z1135">
            <v>0</v>
          </cell>
          <cell r="BS1135">
            <v>0</v>
          </cell>
        </row>
        <row r="1136">
          <cell r="Z1136">
            <v>0</v>
          </cell>
          <cell r="BS1136">
            <v>0</v>
          </cell>
        </row>
        <row r="1137">
          <cell r="Z1137">
            <v>0</v>
          </cell>
          <cell r="BS1137">
            <v>0</v>
          </cell>
        </row>
        <row r="1138">
          <cell r="Z1138">
            <v>0</v>
          </cell>
          <cell r="BS1138">
            <v>0</v>
          </cell>
        </row>
        <row r="1139">
          <cell r="Z1139">
            <v>0</v>
          </cell>
          <cell r="BS1139">
            <v>0</v>
          </cell>
        </row>
        <row r="1144">
          <cell r="Z1144" t="str">
            <v>Current year</v>
          </cell>
          <cell r="BS1144" t="str">
            <v>Năm nay</v>
          </cell>
        </row>
        <row r="1147">
          <cell r="Z1147">
            <v>0</v>
          </cell>
          <cell r="BS1147">
            <v>0</v>
          </cell>
        </row>
        <row r="1148">
          <cell r="Z1148">
            <v>0</v>
          </cell>
          <cell r="BS1148">
            <v>0</v>
          </cell>
        </row>
        <row r="1149">
          <cell r="Z1149">
            <v>0</v>
          </cell>
          <cell r="BS1149">
            <v>0</v>
          </cell>
        </row>
        <row r="1150">
          <cell r="Z1150">
            <v>0</v>
          </cell>
          <cell r="BS1150">
            <v>0</v>
          </cell>
        </row>
        <row r="1151">
          <cell r="Z1151">
            <v>0</v>
          </cell>
          <cell r="BS1151">
            <v>0</v>
          </cell>
        </row>
        <row r="1152">
          <cell r="Z1152">
            <v>0</v>
          </cell>
          <cell r="BS1152">
            <v>0</v>
          </cell>
        </row>
        <row r="1153">
          <cell r="Z1153">
            <v>0</v>
          </cell>
          <cell r="BS1153">
            <v>0</v>
          </cell>
        </row>
        <row r="1154">
          <cell r="Z1154">
            <v>0</v>
          </cell>
          <cell r="BS1154">
            <v>0</v>
          </cell>
        </row>
        <row r="1155">
          <cell r="Z1155">
            <v>0</v>
          </cell>
          <cell r="BS1155">
            <v>0</v>
          </cell>
        </row>
        <row r="1156">
          <cell r="Z1156">
            <v>0</v>
          </cell>
          <cell r="BS1156">
            <v>0</v>
          </cell>
        </row>
        <row r="1157">
          <cell r="Z1157">
            <v>0</v>
          </cell>
          <cell r="BS1157">
            <v>0</v>
          </cell>
        </row>
        <row r="1158">
          <cell r="Z1158">
            <v>0</v>
          </cell>
          <cell r="BS1158">
            <v>0</v>
          </cell>
        </row>
        <row r="1163">
          <cell r="Z1163" t="str">
            <v>Current year</v>
          </cell>
          <cell r="BS1163" t="str">
            <v>Năm nay</v>
          </cell>
          <cell r="DJ1163" t="str">
            <v>Current year</v>
          </cell>
          <cell r="EZ1163" t="str">
            <v>Năm nay</v>
          </cell>
        </row>
        <row r="1166">
          <cell r="Z1166">
            <v>0</v>
          </cell>
          <cell r="BS1166">
            <v>0</v>
          </cell>
          <cell r="DJ1166">
            <v>0</v>
          </cell>
          <cell r="EZ1166">
            <v>0</v>
          </cell>
        </row>
        <row r="1167">
          <cell r="Z1167">
            <v>0</v>
          </cell>
          <cell r="BS1167">
            <v>0</v>
          </cell>
          <cell r="DJ1167">
            <v>0</v>
          </cell>
          <cell r="EZ1167">
            <v>0</v>
          </cell>
        </row>
        <row r="1168">
          <cell r="Z1168">
            <v>0</v>
          </cell>
          <cell r="BS1168">
            <v>0</v>
          </cell>
          <cell r="DJ1168">
            <v>0</v>
          </cell>
          <cell r="EZ1168">
            <v>0</v>
          </cell>
        </row>
        <row r="1169">
          <cell r="Z1169">
            <v>0</v>
          </cell>
          <cell r="BS1169">
            <v>0</v>
          </cell>
          <cell r="DJ1169">
            <v>0</v>
          </cell>
          <cell r="EZ1169">
            <v>0</v>
          </cell>
        </row>
        <row r="1170">
          <cell r="Z1170">
            <v>0</v>
          </cell>
          <cell r="BS1170">
            <v>0</v>
          </cell>
          <cell r="DJ1170">
            <v>0</v>
          </cell>
          <cell r="EZ1170">
            <v>0</v>
          </cell>
        </row>
        <row r="1175">
          <cell r="Z1175" t="str">
            <v>Current year</v>
          </cell>
          <cell r="BS1175" t="str">
            <v>Năm nay</v>
          </cell>
          <cell r="DJ1175" t="str">
            <v>Current year</v>
          </cell>
          <cell r="EZ1175" t="str">
            <v>Năm nay</v>
          </cell>
        </row>
        <row r="1178">
          <cell r="Z1178">
            <v>0</v>
          </cell>
          <cell r="BS1178">
            <v>0</v>
          </cell>
          <cell r="DJ1178">
            <v>0</v>
          </cell>
          <cell r="EZ1178">
            <v>0</v>
          </cell>
        </row>
        <row r="1179">
          <cell r="Z1179">
            <v>0</v>
          </cell>
          <cell r="BS1179">
            <v>0</v>
          </cell>
          <cell r="DJ1179">
            <v>0</v>
          </cell>
          <cell r="EZ1179">
            <v>0</v>
          </cell>
        </row>
        <row r="1180">
          <cell r="Z1180">
            <v>0</v>
          </cell>
          <cell r="BS1180">
            <v>0</v>
          </cell>
          <cell r="DJ1180">
            <v>0</v>
          </cell>
          <cell r="EZ1180">
            <v>0</v>
          </cell>
        </row>
        <row r="1181">
          <cell r="Z1181">
            <v>0</v>
          </cell>
          <cell r="BS1181">
            <v>0</v>
          </cell>
          <cell r="DJ1181">
            <v>0</v>
          </cell>
          <cell r="EZ1181">
            <v>0</v>
          </cell>
        </row>
        <row r="1182">
          <cell r="Z1182">
            <v>0</v>
          </cell>
          <cell r="BS1182">
            <v>0</v>
          </cell>
          <cell r="DJ1182">
            <v>0</v>
          </cell>
          <cell r="EZ1182">
            <v>0</v>
          </cell>
        </row>
        <row r="1187">
          <cell r="Z1187" t="str">
            <v>Current year</v>
          </cell>
          <cell r="BS1187" t="str">
            <v>Năm nay</v>
          </cell>
          <cell r="DJ1187" t="str">
            <v>Current year</v>
          </cell>
          <cell r="EZ1187" t="str">
            <v>Năm nay</v>
          </cell>
        </row>
        <row r="1190">
          <cell r="Z1190">
            <v>0</v>
          </cell>
          <cell r="BS1190">
            <v>0</v>
          </cell>
          <cell r="DJ1190">
            <v>0</v>
          </cell>
          <cell r="EZ1190">
            <v>0</v>
          </cell>
        </row>
        <row r="1191">
          <cell r="Z1191">
            <v>0</v>
          </cell>
          <cell r="BS1191">
            <v>0</v>
          </cell>
          <cell r="DJ1191">
            <v>0</v>
          </cell>
          <cell r="EZ1191">
            <v>0</v>
          </cell>
        </row>
        <row r="1192">
          <cell r="Z1192">
            <v>0</v>
          </cell>
          <cell r="BS1192">
            <v>0</v>
          </cell>
          <cell r="DJ1192">
            <v>0</v>
          </cell>
          <cell r="EZ1192">
            <v>0</v>
          </cell>
        </row>
        <row r="1193">
          <cell r="Z1193">
            <v>0</v>
          </cell>
          <cell r="BS1193">
            <v>0</v>
          </cell>
          <cell r="DJ1193">
            <v>0</v>
          </cell>
          <cell r="EZ1193">
            <v>0</v>
          </cell>
        </row>
        <row r="1195">
          <cell r="Z1195">
            <v>0</v>
          </cell>
          <cell r="BS1195">
            <v>0</v>
          </cell>
          <cell r="DJ1195">
            <v>0</v>
          </cell>
          <cell r="EZ1195">
            <v>0</v>
          </cell>
        </row>
        <row r="1196">
          <cell r="Z1196">
            <v>0</v>
          </cell>
          <cell r="BS1196">
            <v>0</v>
          </cell>
          <cell r="DJ1196">
            <v>0</v>
          </cell>
          <cell r="EZ1196">
            <v>0</v>
          </cell>
        </row>
        <row r="1219">
          <cell r="Z1219" t="str">
            <v>Current year</v>
          </cell>
          <cell r="BS1219" t="str">
            <v>Năm nay</v>
          </cell>
          <cell r="DJ1219" t="str">
            <v>Current year</v>
          </cell>
          <cell r="EZ1219" t="str">
            <v>Năm nay</v>
          </cell>
        </row>
        <row r="1222">
          <cell r="Z1222">
            <v>0</v>
          </cell>
          <cell r="BS1222">
            <v>0</v>
          </cell>
          <cell r="DJ1222">
            <v>0</v>
          </cell>
          <cell r="EZ1222">
            <v>0</v>
          </cell>
        </row>
        <row r="1223">
          <cell r="Z1223">
            <v>0</v>
          </cell>
          <cell r="BS1223">
            <v>0</v>
          </cell>
          <cell r="DJ1223">
            <v>0</v>
          </cell>
          <cell r="EZ1223">
            <v>0</v>
          </cell>
        </row>
        <row r="1224">
          <cell r="Z1224">
            <v>0</v>
          </cell>
          <cell r="BS1224">
            <v>0</v>
          </cell>
          <cell r="DJ1224">
            <v>0</v>
          </cell>
          <cell r="EZ1224">
            <v>0</v>
          </cell>
        </row>
        <row r="1320">
          <cell r="Z1320" t="str">
            <v>Current year</v>
          </cell>
          <cell r="BS1320" t="str">
            <v>Năm nay</v>
          </cell>
          <cell r="DJ1320" t="str">
            <v>Current year</v>
          </cell>
          <cell r="EZ1320" t="str">
            <v>Năm nay</v>
          </cell>
        </row>
        <row r="1323">
          <cell r="Z1323">
            <v>0</v>
          </cell>
          <cell r="BS1323">
            <v>0</v>
          </cell>
          <cell r="DJ1323">
            <v>0</v>
          </cell>
          <cell r="EZ1323">
            <v>0</v>
          </cell>
        </row>
        <row r="1324">
          <cell r="Z1324">
            <v>0</v>
          </cell>
          <cell r="BS1324">
            <v>0</v>
          </cell>
          <cell r="DJ1324">
            <v>0</v>
          </cell>
          <cell r="EZ1324">
            <v>0</v>
          </cell>
        </row>
        <row r="1325">
          <cell r="Z1325">
            <v>0</v>
          </cell>
          <cell r="BS1325">
            <v>0</v>
          </cell>
          <cell r="DJ1325">
            <v>0</v>
          </cell>
          <cell r="EZ1325">
            <v>0</v>
          </cell>
        </row>
        <row r="1328">
          <cell r="Z1328" t="str">
            <v>Current year</v>
          </cell>
          <cell r="BS1328" t="str">
            <v>Năm nay</v>
          </cell>
          <cell r="DJ1328" t="str">
            <v>Current year</v>
          </cell>
          <cell r="EZ1328" t="str">
            <v>Năm nay</v>
          </cell>
        </row>
        <row r="1331">
          <cell r="Z1331">
            <v>0</v>
          </cell>
          <cell r="BS1331">
            <v>0</v>
          </cell>
          <cell r="DJ1331">
            <v>0</v>
          </cell>
          <cell r="EZ1331">
            <v>0</v>
          </cell>
        </row>
        <row r="1333">
          <cell r="Z1333">
            <v>0</v>
          </cell>
          <cell r="BS1333">
            <v>0</v>
          </cell>
          <cell r="DJ1333">
            <v>0</v>
          </cell>
          <cell r="EZ1333">
            <v>0</v>
          </cell>
        </row>
        <row r="1335">
          <cell r="Z1335">
            <v>0</v>
          </cell>
          <cell r="BS1335">
            <v>0</v>
          </cell>
          <cell r="DJ1335">
            <v>0</v>
          </cell>
          <cell r="EZ1335">
            <v>0</v>
          </cell>
        </row>
        <row r="1337">
          <cell r="Z1337">
            <v>0</v>
          </cell>
          <cell r="BS1337">
            <v>0</v>
          </cell>
          <cell r="DJ1337">
            <v>0</v>
          </cell>
          <cell r="EZ1337">
            <v>0</v>
          </cell>
        </row>
        <row r="1339">
          <cell r="Z1339">
            <v>0</v>
          </cell>
          <cell r="BS1339">
            <v>0</v>
          </cell>
          <cell r="DJ1339">
            <v>0</v>
          </cell>
          <cell r="EZ1339">
            <v>0</v>
          </cell>
        </row>
        <row r="1342">
          <cell r="Z1342" t="str">
            <v>Current year</v>
          </cell>
          <cell r="BS1342" t="str">
            <v>Năm nay</v>
          </cell>
          <cell r="DJ1342" t="str">
            <v>Current year</v>
          </cell>
          <cell r="EZ1342" t="str">
            <v>Năm nay</v>
          </cell>
        </row>
        <row r="1345">
          <cell r="Z1345">
            <v>0</v>
          </cell>
          <cell r="BS1345">
            <v>0</v>
          </cell>
          <cell r="DJ1345">
            <v>0</v>
          </cell>
          <cell r="EZ1345">
            <v>0</v>
          </cell>
        </row>
        <row r="1496">
          <cell r="Z1496" t="str">
            <v>Current year</v>
          </cell>
          <cell r="BS1496" t="str">
            <v>Năm nay</v>
          </cell>
        </row>
        <row r="1499">
          <cell r="Z1499">
            <v>0</v>
          </cell>
          <cell r="BS1499">
            <v>0</v>
          </cell>
        </row>
        <row r="1500">
          <cell r="Z1500">
            <v>0</v>
          </cell>
          <cell r="BS1500">
            <v>0</v>
          </cell>
        </row>
        <row r="1501">
          <cell r="Z1501">
            <v>0</v>
          </cell>
          <cell r="BS1501">
            <v>0</v>
          </cell>
        </row>
        <row r="1502">
          <cell r="Z1502">
            <v>0</v>
          </cell>
          <cell r="BS1502">
            <v>0</v>
          </cell>
        </row>
      </sheetData>
      <sheetData sheetId="9">
        <row r="52">
          <cell r="D52">
            <v>0</v>
          </cell>
          <cell r="E52">
            <v>0</v>
          </cell>
          <cell r="F52">
            <v>0</v>
          </cell>
        </row>
        <row r="53">
          <cell r="D53">
            <v>0</v>
          </cell>
          <cell r="E53">
            <v>0</v>
          </cell>
          <cell r="F53">
            <v>0</v>
          </cell>
        </row>
        <row r="54">
          <cell r="D54">
            <v>0</v>
          </cell>
          <cell r="E54">
            <v>0</v>
          </cell>
          <cell r="F54">
            <v>0</v>
          </cell>
        </row>
        <row r="55">
          <cell r="D55">
            <v>0</v>
          </cell>
          <cell r="E55">
            <v>0</v>
          </cell>
          <cell r="F55">
            <v>0</v>
          </cell>
        </row>
        <row r="57">
          <cell r="D57">
            <v>0</v>
          </cell>
          <cell r="E57">
            <v>0</v>
          </cell>
          <cell r="F57">
            <v>0</v>
          </cell>
        </row>
        <row r="68">
          <cell r="E68">
            <v>0</v>
          </cell>
          <cell r="F68">
            <v>0</v>
          </cell>
          <cell r="G68">
            <v>0</v>
          </cell>
        </row>
        <row r="70">
          <cell r="E70">
            <v>0</v>
          </cell>
          <cell r="F70">
            <v>0</v>
          </cell>
          <cell r="G70">
            <v>0</v>
          </cell>
        </row>
        <row r="72">
          <cell r="E72">
            <v>0</v>
          </cell>
          <cell r="F72">
            <v>0</v>
          </cell>
          <cell r="G72">
            <v>0</v>
          </cell>
        </row>
        <row r="81">
          <cell r="D81">
            <v>0</v>
          </cell>
          <cell r="E81">
            <v>0</v>
          </cell>
          <cell r="F81">
            <v>0</v>
          </cell>
          <cell r="G81">
            <v>0</v>
          </cell>
        </row>
        <row r="82">
          <cell r="D82">
            <v>0</v>
          </cell>
          <cell r="E82">
            <v>0</v>
          </cell>
          <cell r="F82">
            <v>0</v>
          </cell>
          <cell r="G82">
            <v>0</v>
          </cell>
        </row>
        <row r="83">
          <cell r="D83">
            <v>0</v>
          </cell>
          <cell r="E83">
            <v>0</v>
          </cell>
          <cell r="F83">
            <v>0</v>
          </cell>
          <cell r="G83">
            <v>0</v>
          </cell>
        </row>
        <row r="84">
          <cell r="D84">
            <v>0</v>
          </cell>
          <cell r="E84">
            <v>0</v>
          </cell>
          <cell r="F84">
            <v>0</v>
          </cell>
          <cell r="G84">
            <v>0</v>
          </cell>
        </row>
        <row r="85">
          <cell r="D85">
            <v>0</v>
          </cell>
          <cell r="E85">
            <v>0</v>
          </cell>
          <cell r="F85">
            <v>0</v>
          </cell>
          <cell r="G85">
            <v>0</v>
          </cell>
        </row>
        <row r="86">
          <cell r="D86">
            <v>0</v>
          </cell>
          <cell r="E86">
            <v>0</v>
          </cell>
          <cell r="F86">
            <v>0</v>
          </cell>
          <cell r="G86">
            <v>0</v>
          </cell>
        </row>
        <row r="87">
          <cell r="D87">
            <v>0</v>
          </cell>
          <cell r="E87">
            <v>0</v>
          </cell>
          <cell r="F87">
            <v>0</v>
          </cell>
          <cell r="G87">
            <v>0</v>
          </cell>
        </row>
        <row r="88">
          <cell r="D88">
            <v>0</v>
          </cell>
          <cell r="E88">
            <v>0</v>
          </cell>
          <cell r="F88">
            <v>0</v>
          </cell>
          <cell r="G88">
            <v>0</v>
          </cell>
        </row>
        <row r="109">
          <cell r="D109">
            <v>0</v>
          </cell>
          <cell r="E109">
            <v>0</v>
          </cell>
          <cell r="F109">
            <v>0</v>
          </cell>
          <cell r="G109">
            <v>0</v>
          </cell>
        </row>
        <row r="110">
          <cell r="D110">
            <v>0</v>
          </cell>
          <cell r="E110">
            <v>0</v>
          </cell>
          <cell r="F110">
            <v>0</v>
          </cell>
          <cell r="G110">
            <v>0</v>
          </cell>
        </row>
      </sheetData>
      <sheetData sheetId="10">
        <row r="10">
          <cell r="C10">
            <v>0</v>
          </cell>
          <cell r="D10">
            <v>0</v>
          </cell>
          <cell r="E10">
            <v>0</v>
          </cell>
        </row>
        <row r="11">
          <cell r="C11">
            <v>0</v>
          </cell>
        </row>
        <row r="13">
          <cell r="C13">
            <v>0</v>
          </cell>
          <cell r="D13">
            <v>0</v>
          </cell>
          <cell r="E13">
            <v>0</v>
          </cell>
        </row>
        <row r="14">
          <cell r="C14">
            <v>0</v>
          </cell>
        </row>
        <row r="15">
          <cell r="E15">
            <v>0</v>
          </cell>
        </row>
        <row r="16">
          <cell r="C16">
            <v>0</v>
          </cell>
          <cell r="D16">
            <v>0</v>
          </cell>
          <cell r="E16">
            <v>0</v>
          </cell>
        </row>
        <row r="22">
          <cell r="C22">
            <v>0</v>
          </cell>
        </row>
        <row r="24">
          <cell r="C24">
            <v>0</v>
          </cell>
          <cell r="D24">
            <v>0</v>
          </cell>
          <cell r="E24">
            <v>0</v>
          </cell>
        </row>
        <row r="25">
          <cell r="C25">
            <v>0</v>
          </cell>
        </row>
        <row r="26">
          <cell r="E26">
            <v>0</v>
          </cell>
        </row>
        <row r="27">
          <cell r="C27">
            <v>0</v>
          </cell>
          <cell r="D27">
            <v>0</v>
          </cell>
          <cell r="E27">
            <v>0</v>
          </cell>
        </row>
        <row r="38">
          <cell r="C38">
            <v>0</v>
          </cell>
          <cell r="F38">
            <v>0</v>
          </cell>
        </row>
        <row r="39">
          <cell r="C39">
            <v>0</v>
          </cell>
          <cell r="F39">
            <v>0</v>
          </cell>
        </row>
        <row r="40">
          <cell r="C40">
            <v>0</v>
          </cell>
          <cell r="F40">
            <v>0</v>
          </cell>
        </row>
      </sheetData>
      <sheetData sheetId="11">
        <row r="6">
          <cell r="D6" t="str">
            <v>Crowe Vietnam Master Binder Template v1.1</v>
          </cell>
          <cell r="K6" t="str">
            <v>B09-DN</v>
          </cell>
          <cell r="N6" t="str">
            <v>Crowe Vietnam Master Binder Template v1.1</v>
          </cell>
          <cell r="U6" t="str">
            <v>B09-DN</v>
          </cell>
          <cell r="Y6" t="str">
            <v>Crowe Vietnam Master Binder Template v1.1</v>
          </cell>
          <cell r="AF6" t="str">
            <v>B09-DN</v>
          </cell>
          <cell r="AI6" t="str">
            <v>Crowe Vietnam Master Binder Template v1.1</v>
          </cell>
          <cell r="AP6" t="str">
            <v>B09-DN</v>
          </cell>
        </row>
        <row r="7">
          <cell r="K7" t="str">
            <v>(Issued in accordance with Circular No. 200/2014/TT-BTC</v>
          </cell>
          <cell r="U7" t="str">
            <v>(Ban hành theo Thông tư số 200/2014/TT-BTC</v>
          </cell>
          <cell r="AF7" t="str">
            <v>(Issued in accordance with Circular No. 200/2014/TT-BTC</v>
          </cell>
          <cell r="AP7" t="str">
            <v>(Ban hành theo Thông tư số 200/2014/TT-BTC</v>
          </cell>
        </row>
        <row r="8">
          <cell r="K8" t="str">
            <v>dated 22 December 2014 of the Ministry of Finance)</v>
          </cell>
          <cell r="U8" t="str">
            <v>ngày 22 tháng 12 năm 2014 của Bộ Tài chính)</v>
          </cell>
          <cell r="AF8" t="str">
            <v>dated 22 December 2014 of the Ministry of Finance)</v>
          </cell>
          <cell r="AP8" t="str">
            <v>ngày 22 tháng 12 năm 2014 của Bộ Tài chính)</v>
          </cell>
        </row>
        <row r="10">
          <cell r="D10" t="str">
            <v>NOTES TO THE FINANCIAL STATEMENTS (continued)</v>
          </cell>
          <cell r="N10" t="str">
            <v>THUYẾT MINH BÁO CÁO TÀI CHÍNH (tiếp theo)</v>
          </cell>
          <cell r="Y10" t="str">
            <v>NOTES TO THE FINANCIAL STATEMENTS (continued)</v>
          </cell>
          <cell r="AI10" t="str">
            <v>THUYẾT MINH BÁO CÁO TÀI CHÍNH (tiếp theo)</v>
          </cell>
        </row>
        <row r="11">
          <cell r="D11" t="str">
            <v>for the year ended 31 December 2023</v>
          </cell>
          <cell r="N11" t="str">
            <v>cho năm kết thúc ngày 31 tháng 12 năm 2023</v>
          </cell>
          <cell r="Y11" t="str">
            <v>for the year ended 31 December 2023</v>
          </cell>
          <cell r="AI11" t="str">
            <v>cho năm kết thúc ngày 31 tháng 12 năm 2023</v>
          </cell>
        </row>
        <row r="12">
          <cell r="D12" t="str">
            <v>Unit: VND</v>
          </cell>
          <cell r="N12" t="str">
            <v>Đơn vị: VND</v>
          </cell>
          <cell r="Y12" t="str">
            <v>Đơn vị: 1.000 VND</v>
          </cell>
          <cell r="AI12" t="str">
            <v>Đơn vị: 1.000 VND</v>
          </cell>
        </row>
        <row r="14">
          <cell r="D14" t="str">
            <v>11.</v>
          </cell>
          <cell r="E14" t="str">
            <v>TANGIBLE FIXED ASSETS</v>
          </cell>
          <cell r="N14" t="str">
            <v>11.</v>
          </cell>
          <cell r="O14" t="str">
            <v>TÀI SẢN CỐ ĐỊNH HỮU HÌNH</v>
          </cell>
          <cell r="Y14" t="str">
            <v>11.</v>
          </cell>
          <cell r="Z14" t="str">
            <v>TANGIBLE FIXED ASSETS</v>
          </cell>
          <cell r="AI14" t="str">
            <v>11.</v>
          </cell>
          <cell r="AJ14" t="str">
            <v>TÀI SẢN CỐ ĐỊNH HỮU HÌNH</v>
          </cell>
        </row>
        <row r="16">
          <cell r="F16" t="str">
            <v>Buildings &amp;
structures</v>
          </cell>
          <cell r="G16" t="str">
            <v>Machinery &amp;
equipment</v>
          </cell>
          <cell r="H16" t="str">
            <v>Means of
transportation
&amp; transmission</v>
          </cell>
          <cell r="I16" t="str">
            <v>Office
equipment</v>
          </cell>
          <cell r="J16" t="str">
            <v>Other
tangible
fixed assets</v>
          </cell>
          <cell r="K16" t="str">
            <v>Total</v>
          </cell>
          <cell r="P16" t="str">
            <v>Nhà cửa,
vật kiến trúc</v>
          </cell>
          <cell r="Q16" t="str">
            <v>Máy móc,
thiết bị</v>
          </cell>
          <cell r="R16" t="str">
            <v>Phương tiện vận tải và truyền dẫn</v>
          </cell>
          <cell r="S16" t="str">
            <v>Thiết bị văn phòng</v>
          </cell>
          <cell r="T16" t="str">
            <v>Tài sản cố định hữu hình khác</v>
          </cell>
          <cell r="U16" t="str">
            <v>Tổng cộng</v>
          </cell>
          <cell r="AA16" t="str">
            <v>Buildings &amp;
structures</v>
          </cell>
          <cell r="AB16" t="str">
            <v>Machinery &amp;
equipment</v>
          </cell>
          <cell r="AC16" t="str">
            <v>Means of
transportation
&amp; transmission</v>
          </cell>
          <cell r="AD16" t="str">
            <v>Office
equipment</v>
          </cell>
          <cell r="AE16" t="str">
            <v>Other
tangible
fixed assets</v>
          </cell>
          <cell r="AF16" t="str">
            <v>Total</v>
          </cell>
          <cell r="AK16" t="str">
            <v>Nhà cửa,
vật kiến trúc</v>
          </cell>
          <cell r="AL16" t="str">
            <v>Máy móc,
thiết bị</v>
          </cell>
          <cell r="AM16" t="str">
            <v>Phương tiện vận tải và truyền dẫn</v>
          </cell>
          <cell r="AN16" t="str">
            <v>Thiết bị văn phòng</v>
          </cell>
          <cell r="AO16" t="str">
            <v>Tài sản cố định hữu hình khác</v>
          </cell>
          <cell r="AP16" t="str">
            <v>Tổng cộng</v>
          </cell>
        </row>
        <row r="19">
          <cell r="E19" t="str">
            <v>Historical cost</v>
          </cell>
          <cell r="O19" t="str">
            <v>Nguyên giá</v>
          </cell>
          <cell r="Z19" t="str">
            <v>Historical cost</v>
          </cell>
          <cell r="AJ19" t="str">
            <v>Nguyên giá</v>
          </cell>
        </row>
        <row r="20">
          <cell r="E20" t="str">
            <v>Beginning balance</v>
          </cell>
          <cell r="F20">
            <v>0</v>
          </cell>
          <cell r="G20">
            <v>0</v>
          </cell>
          <cell r="H20">
            <v>0</v>
          </cell>
          <cell r="I20">
            <v>0</v>
          </cell>
          <cell r="J20">
            <v>0</v>
          </cell>
          <cell r="K20">
            <v>0</v>
          </cell>
          <cell r="O20" t="str">
            <v xml:space="preserve">Số dư đầu năm </v>
          </cell>
          <cell r="P20">
            <v>0</v>
          </cell>
          <cell r="Q20">
            <v>0</v>
          </cell>
          <cell r="R20">
            <v>0</v>
          </cell>
          <cell r="S20">
            <v>0</v>
          </cell>
          <cell r="T20">
            <v>0</v>
          </cell>
          <cell r="U20">
            <v>0</v>
          </cell>
          <cell r="Z20" t="str">
            <v>Beginning balance</v>
          </cell>
          <cell r="AA20">
            <v>0</v>
          </cell>
          <cell r="AB20">
            <v>0</v>
          </cell>
          <cell r="AC20">
            <v>0</v>
          </cell>
          <cell r="AD20">
            <v>0</v>
          </cell>
          <cell r="AE20">
            <v>0</v>
          </cell>
          <cell r="AF20">
            <v>0</v>
          </cell>
          <cell r="AJ20" t="str">
            <v xml:space="preserve">Số dư đầu năm </v>
          </cell>
          <cell r="AK20">
            <v>0</v>
          </cell>
          <cell r="AL20">
            <v>0</v>
          </cell>
          <cell r="AM20">
            <v>0</v>
          </cell>
          <cell r="AN20">
            <v>0</v>
          </cell>
          <cell r="AO20">
            <v>0</v>
          </cell>
          <cell r="AP20">
            <v>0</v>
          </cell>
        </row>
        <row r="21">
          <cell r="E21" t="str">
            <v>New purchases</v>
          </cell>
          <cell r="F21">
            <v>0</v>
          </cell>
          <cell r="G21">
            <v>0</v>
          </cell>
          <cell r="H21">
            <v>0</v>
          </cell>
          <cell r="I21">
            <v>0</v>
          </cell>
          <cell r="J21">
            <v>0</v>
          </cell>
          <cell r="K21">
            <v>0</v>
          </cell>
          <cell r="O21" t="str">
            <v>Mua trong năm</v>
          </cell>
          <cell r="P21">
            <v>0</v>
          </cell>
          <cell r="Q21">
            <v>0</v>
          </cell>
          <cell r="R21">
            <v>0</v>
          </cell>
          <cell r="S21">
            <v>0</v>
          </cell>
          <cell r="T21">
            <v>0</v>
          </cell>
          <cell r="U21">
            <v>0</v>
          </cell>
          <cell r="Z21" t="str">
            <v>New purchases</v>
          </cell>
          <cell r="AA21">
            <v>0</v>
          </cell>
          <cell r="AB21">
            <v>0</v>
          </cell>
          <cell r="AC21">
            <v>0</v>
          </cell>
          <cell r="AD21">
            <v>0</v>
          </cell>
          <cell r="AE21">
            <v>0</v>
          </cell>
          <cell r="AF21">
            <v>0</v>
          </cell>
          <cell r="AJ21" t="str">
            <v>Mua trong năm</v>
          </cell>
          <cell r="AK21">
            <v>0</v>
          </cell>
          <cell r="AL21">
            <v>0</v>
          </cell>
          <cell r="AM21">
            <v>0</v>
          </cell>
          <cell r="AN21">
            <v>0</v>
          </cell>
          <cell r="AO21">
            <v>0</v>
          </cell>
          <cell r="AP21">
            <v>0</v>
          </cell>
        </row>
        <row r="22">
          <cell r="E22" t="str">
            <v>Transferred from CIP</v>
          </cell>
          <cell r="F22">
            <v>0</v>
          </cell>
          <cell r="G22">
            <v>0</v>
          </cell>
          <cell r="H22">
            <v>0</v>
          </cell>
          <cell r="I22">
            <v>0</v>
          </cell>
          <cell r="J22">
            <v>0</v>
          </cell>
          <cell r="K22">
            <v>0</v>
          </cell>
          <cell r="O22" t="str">
            <v>Đầu tư XDCB hoàn thành</v>
          </cell>
          <cell r="P22">
            <v>0</v>
          </cell>
          <cell r="Q22">
            <v>0</v>
          </cell>
          <cell r="R22">
            <v>0</v>
          </cell>
          <cell r="S22">
            <v>0</v>
          </cell>
          <cell r="T22">
            <v>0</v>
          </cell>
          <cell r="U22">
            <v>0</v>
          </cell>
          <cell r="Z22" t="str">
            <v>Transferred from CIP</v>
          </cell>
          <cell r="AA22">
            <v>0</v>
          </cell>
          <cell r="AB22">
            <v>0</v>
          </cell>
          <cell r="AC22">
            <v>0</v>
          </cell>
          <cell r="AD22">
            <v>0</v>
          </cell>
          <cell r="AE22">
            <v>0</v>
          </cell>
          <cell r="AF22">
            <v>0</v>
          </cell>
          <cell r="AJ22" t="str">
            <v>Đầu tư XDCB hoàn thành</v>
          </cell>
          <cell r="AK22">
            <v>0</v>
          </cell>
          <cell r="AL22">
            <v>0</v>
          </cell>
          <cell r="AM22">
            <v>0</v>
          </cell>
          <cell r="AN22">
            <v>0</v>
          </cell>
          <cell r="AO22">
            <v>0</v>
          </cell>
          <cell r="AP22">
            <v>0</v>
          </cell>
        </row>
        <row r="23">
          <cell r="E23" t="str">
            <v>Other increase</v>
          </cell>
          <cell r="F23">
            <v>0</v>
          </cell>
          <cell r="G23">
            <v>0</v>
          </cell>
          <cell r="H23">
            <v>0</v>
          </cell>
          <cell r="I23">
            <v>0</v>
          </cell>
          <cell r="J23">
            <v>0</v>
          </cell>
          <cell r="K23">
            <v>0</v>
          </cell>
          <cell r="O23" t="str">
            <v>Tăng khác</v>
          </cell>
          <cell r="P23">
            <v>0</v>
          </cell>
          <cell r="Q23">
            <v>0</v>
          </cell>
          <cell r="R23">
            <v>0</v>
          </cell>
          <cell r="S23">
            <v>0</v>
          </cell>
          <cell r="T23">
            <v>0</v>
          </cell>
          <cell r="U23">
            <v>0</v>
          </cell>
          <cell r="Z23" t="str">
            <v>Other increase</v>
          </cell>
          <cell r="AA23">
            <v>0</v>
          </cell>
          <cell r="AB23">
            <v>0</v>
          </cell>
          <cell r="AC23">
            <v>0</v>
          </cell>
          <cell r="AD23">
            <v>0</v>
          </cell>
          <cell r="AE23">
            <v>0</v>
          </cell>
          <cell r="AF23">
            <v>0</v>
          </cell>
          <cell r="AJ23" t="str">
            <v>Tăng khác</v>
          </cell>
          <cell r="AK23">
            <v>0</v>
          </cell>
          <cell r="AL23">
            <v>0</v>
          </cell>
          <cell r="AM23">
            <v>0</v>
          </cell>
          <cell r="AN23">
            <v>0</v>
          </cell>
          <cell r="AO23">
            <v>0</v>
          </cell>
          <cell r="AP23">
            <v>0</v>
          </cell>
        </row>
        <row r="24">
          <cell r="E24" t="str">
            <v>Transferred to</v>
          </cell>
          <cell r="F24">
            <v>0</v>
          </cell>
          <cell r="G24">
            <v>0</v>
          </cell>
          <cell r="H24">
            <v>0</v>
          </cell>
          <cell r="I24">
            <v>0</v>
          </cell>
          <cell r="J24">
            <v>0</v>
          </cell>
          <cell r="K24">
            <v>0</v>
          </cell>
          <cell r="O24" t="str">
            <v>Chuyển sang</v>
          </cell>
          <cell r="P24">
            <v>0</v>
          </cell>
          <cell r="Q24">
            <v>0</v>
          </cell>
          <cell r="R24">
            <v>0</v>
          </cell>
          <cell r="S24">
            <v>0</v>
          </cell>
          <cell r="T24">
            <v>0</v>
          </cell>
          <cell r="U24">
            <v>0</v>
          </cell>
          <cell r="Z24" t="str">
            <v>Transferred to</v>
          </cell>
          <cell r="AA24">
            <v>0</v>
          </cell>
          <cell r="AB24">
            <v>0</v>
          </cell>
          <cell r="AC24">
            <v>0</v>
          </cell>
          <cell r="AD24">
            <v>0</v>
          </cell>
          <cell r="AE24">
            <v>0</v>
          </cell>
          <cell r="AF24">
            <v>0</v>
          </cell>
          <cell r="AJ24" t="str">
            <v>Chuyển sang</v>
          </cell>
          <cell r="AK24">
            <v>0</v>
          </cell>
          <cell r="AL24">
            <v>0</v>
          </cell>
          <cell r="AM24">
            <v>0</v>
          </cell>
          <cell r="AN24">
            <v>0</v>
          </cell>
          <cell r="AO24">
            <v>0</v>
          </cell>
          <cell r="AP24">
            <v>0</v>
          </cell>
        </row>
        <row r="25">
          <cell r="E25" t="str">
            <v>investment properties</v>
          </cell>
          <cell r="O25" t="str">
            <v>bất động sản đầu tư</v>
          </cell>
          <cell r="Z25" t="str">
            <v>investment properties</v>
          </cell>
          <cell r="AJ25" t="str">
            <v>bất động sản đầu tư</v>
          </cell>
        </row>
        <row r="26">
          <cell r="E26" t="str">
            <v>Transferred to</v>
          </cell>
          <cell r="F26">
            <v>0</v>
          </cell>
          <cell r="G26">
            <v>0</v>
          </cell>
          <cell r="H26">
            <v>0</v>
          </cell>
          <cell r="I26">
            <v>0</v>
          </cell>
          <cell r="J26">
            <v>0</v>
          </cell>
          <cell r="K26">
            <v>0</v>
          </cell>
          <cell r="O26" t="str">
            <v>Chuyển sang</v>
          </cell>
          <cell r="P26">
            <v>0</v>
          </cell>
          <cell r="Q26">
            <v>0</v>
          </cell>
          <cell r="R26">
            <v>0</v>
          </cell>
          <cell r="S26">
            <v>0</v>
          </cell>
          <cell r="T26">
            <v>0</v>
          </cell>
          <cell r="U26">
            <v>0</v>
          </cell>
          <cell r="Z26" t="str">
            <v>Transferred to</v>
          </cell>
          <cell r="AA26">
            <v>0</v>
          </cell>
          <cell r="AB26">
            <v>0</v>
          </cell>
          <cell r="AC26">
            <v>0</v>
          </cell>
          <cell r="AD26">
            <v>0</v>
          </cell>
          <cell r="AE26">
            <v>0</v>
          </cell>
          <cell r="AF26">
            <v>0</v>
          </cell>
          <cell r="AJ26" t="str">
            <v>Chuyển sang</v>
          </cell>
          <cell r="AK26">
            <v>0</v>
          </cell>
          <cell r="AL26">
            <v>0</v>
          </cell>
          <cell r="AM26">
            <v>0</v>
          </cell>
          <cell r="AN26">
            <v>0</v>
          </cell>
          <cell r="AO26">
            <v>0</v>
          </cell>
          <cell r="AP26">
            <v>0</v>
          </cell>
        </row>
        <row r="27">
          <cell r="E27" t="str">
            <v>long-term prepaid expenses</v>
          </cell>
          <cell r="O27" t="str">
            <v>chi phí trả trước dài hạn</v>
          </cell>
          <cell r="Z27" t="str">
            <v>long-term prepaid expenses</v>
          </cell>
          <cell r="AJ27" t="str">
            <v>chi phí trả trước dài hạn</v>
          </cell>
        </row>
        <row r="28">
          <cell r="E28" t="str">
            <v>Disposed</v>
          </cell>
          <cell r="F28">
            <v>0</v>
          </cell>
          <cell r="G28">
            <v>0</v>
          </cell>
          <cell r="H28">
            <v>0</v>
          </cell>
          <cell r="I28">
            <v>0</v>
          </cell>
          <cell r="J28">
            <v>0</v>
          </cell>
          <cell r="K28">
            <v>0</v>
          </cell>
          <cell r="O28" t="str">
            <v>Thanh lý</v>
          </cell>
          <cell r="P28">
            <v>0</v>
          </cell>
          <cell r="Q28">
            <v>0</v>
          </cell>
          <cell r="R28">
            <v>0</v>
          </cell>
          <cell r="S28">
            <v>0</v>
          </cell>
          <cell r="T28">
            <v>0</v>
          </cell>
          <cell r="U28">
            <v>0</v>
          </cell>
          <cell r="Z28" t="str">
            <v>Disposed</v>
          </cell>
          <cell r="AA28">
            <v>0</v>
          </cell>
          <cell r="AB28">
            <v>0</v>
          </cell>
          <cell r="AC28">
            <v>0</v>
          </cell>
          <cell r="AD28">
            <v>0</v>
          </cell>
          <cell r="AE28">
            <v>0</v>
          </cell>
          <cell r="AF28">
            <v>0</v>
          </cell>
          <cell r="AJ28" t="str">
            <v>Thanh lý</v>
          </cell>
          <cell r="AK28">
            <v>0</v>
          </cell>
          <cell r="AL28">
            <v>0</v>
          </cell>
          <cell r="AM28">
            <v>0</v>
          </cell>
          <cell r="AN28">
            <v>0</v>
          </cell>
          <cell r="AO28">
            <v>0</v>
          </cell>
          <cell r="AP28">
            <v>0</v>
          </cell>
        </row>
        <row r="29">
          <cell r="E29" t="str">
            <v>Other decreases</v>
          </cell>
          <cell r="F29">
            <v>0</v>
          </cell>
          <cell r="G29">
            <v>0</v>
          </cell>
          <cell r="H29">
            <v>0</v>
          </cell>
          <cell r="I29">
            <v>0</v>
          </cell>
          <cell r="J29">
            <v>0</v>
          </cell>
          <cell r="K29">
            <v>0</v>
          </cell>
          <cell r="O29" t="str">
            <v>Giảm khác</v>
          </cell>
          <cell r="P29">
            <v>0</v>
          </cell>
          <cell r="Q29">
            <v>0</v>
          </cell>
          <cell r="R29">
            <v>0</v>
          </cell>
          <cell r="S29">
            <v>0</v>
          </cell>
          <cell r="T29">
            <v>0</v>
          </cell>
          <cell r="U29">
            <v>0</v>
          </cell>
          <cell r="Z29" t="str">
            <v>Other decreases</v>
          </cell>
          <cell r="AA29">
            <v>0</v>
          </cell>
          <cell r="AB29">
            <v>0</v>
          </cell>
          <cell r="AC29">
            <v>0</v>
          </cell>
          <cell r="AD29">
            <v>0</v>
          </cell>
          <cell r="AE29">
            <v>0</v>
          </cell>
          <cell r="AF29">
            <v>0</v>
          </cell>
          <cell r="AJ29" t="str">
            <v>Giảm khác</v>
          </cell>
          <cell r="AK29">
            <v>0</v>
          </cell>
          <cell r="AL29">
            <v>0</v>
          </cell>
          <cell r="AM29">
            <v>0</v>
          </cell>
          <cell r="AN29">
            <v>0</v>
          </cell>
          <cell r="AO29">
            <v>0</v>
          </cell>
          <cell r="AP29">
            <v>0</v>
          </cell>
        </row>
        <row r="30">
          <cell r="Z30" t="str">
            <v>FX difference (*)</v>
          </cell>
          <cell r="AA30">
            <v>0</v>
          </cell>
          <cell r="AB30">
            <v>0</v>
          </cell>
          <cell r="AC30">
            <v>0</v>
          </cell>
          <cell r="AD30">
            <v>0</v>
          </cell>
          <cell r="AE30">
            <v>0</v>
          </cell>
          <cell r="AF30">
            <v>0</v>
          </cell>
          <cell r="AJ30" t="str">
            <v>CLTG (*)</v>
          </cell>
          <cell r="AK30">
            <v>0</v>
          </cell>
          <cell r="AL30">
            <v>0</v>
          </cell>
          <cell r="AM30">
            <v>0</v>
          </cell>
          <cell r="AN30">
            <v>0</v>
          </cell>
          <cell r="AO30">
            <v>0</v>
          </cell>
          <cell r="AP30">
            <v>0</v>
          </cell>
        </row>
        <row r="31">
          <cell r="E31" t="str">
            <v>Ending balance</v>
          </cell>
          <cell r="F31">
            <v>0</v>
          </cell>
          <cell r="G31">
            <v>0</v>
          </cell>
          <cell r="H31">
            <v>0</v>
          </cell>
          <cell r="I31">
            <v>0</v>
          </cell>
          <cell r="J31">
            <v>0</v>
          </cell>
          <cell r="K31">
            <v>0</v>
          </cell>
          <cell r="O31" t="str">
            <v>Số dư cuối năm</v>
          </cell>
          <cell r="P31">
            <v>0</v>
          </cell>
          <cell r="Q31">
            <v>0</v>
          </cell>
          <cell r="R31">
            <v>0</v>
          </cell>
          <cell r="S31">
            <v>0</v>
          </cell>
          <cell r="T31">
            <v>0</v>
          </cell>
          <cell r="U31">
            <v>0</v>
          </cell>
          <cell r="Z31" t="str">
            <v>Ending balance</v>
          </cell>
          <cell r="AA31">
            <v>0</v>
          </cell>
          <cell r="AB31">
            <v>0</v>
          </cell>
          <cell r="AC31">
            <v>0</v>
          </cell>
          <cell r="AD31">
            <v>0</v>
          </cell>
          <cell r="AE31">
            <v>0</v>
          </cell>
          <cell r="AF31">
            <v>0</v>
          </cell>
          <cell r="AJ31" t="str">
            <v>Số dư cuối năm</v>
          </cell>
          <cell r="AK31">
            <v>0</v>
          </cell>
          <cell r="AL31">
            <v>0</v>
          </cell>
          <cell r="AM31">
            <v>0</v>
          </cell>
          <cell r="AN31">
            <v>0</v>
          </cell>
          <cell r="AO31">
            <v>0</v>
          </cell>
          <cell r="AP31">
            <v>0</v>
          </cell>
        </row>
        <row r="33">
          <cell r="E33" t="str">
            <v>In which:</v>
          </cell>
          <cell r="O33" t="str">
            <v>Trong đó:</v>
          </cell>
          <cell r="Z33" t="str">
            <v>In which:</v>
          </cell>
          <cell r="AJ33" t="str">
            <v>Trong đó:</v>
          </cell>
        </row>
        <row r="34">
          <cell r="E34" t="str">
            <v>Fully depreciated</v>
          </cell>
          <cell r="F34">
            <v>0</v>
          </cell>
          <cell r="G34">
            <v>0</v>
          </cell>
          <cell r="H34">
            <v>0</v>
          </cell>
          <cell r="I34">
            <v>0</v>
          </cell>
          <cell r="J34">
            <v>0</v>
          </cell>
          <cell r="K34">
            <v>0</v>
          </cell>
          <cell r="O34" t="str">
            <v>Đã khấu hao hết</v>
          </cell>
          <cell r="P34">
            <v>0</v>
          </cell>
          <cell r="Q34">
            <v>0</v>
          </cell>
          <cell r="R34">
            <v>0</v>
          </cell>
          <cell r="S34">
            <v>0</v>
          </cell>
          <cell r="T34">
            <v>0</v>
          </cell>
          <cell r="U34">
            <v>0</v>
          </cell>
          <cell r="Z34" t="str">
            <v>Fully depreciated</v>
          </cell>
          <cell r="AA34">
            <v>0</v>
          </cell>
          <cell r="AB34">
            <v>0</v>
          </cell>
          <cell r="AC34">
            <v>0</v>
          </cell>
          <cell r="AD34">
            <v>0</v>
          </cell>
          <cell r="AE34">
            <v>0</v>
          </cell>
          <cell r="AF34">
            <v>0</v>
          </cell>
          <cell r="AJ34" t="str">
            <v>Đã khấu hao hết</v>
          </cell>
          <cell r="AK34">
            <v>0</v>
          </cell>
          <cell r="AL34">
            <v>0</v>
          </cell>
          <cell r="AM34">
            <v>0</v>
          </cell>
          <cell r="AN34">
            <v>0</v>
          </cell>
          <cell r="AO34">
            <v>0</v>
          </cell>
          <cell r="AP34">
            <v>0</v>
          </cell>
        </row>
        <row r="35">
          <cell r="E35" t="str">
            <v>Awaiting for disposal</v>
          </cell>
          <cell r="F35">
            <v>0</v>
          </cell>
          <cell r="G35">
            <v>0</v>
          </cell>
          <cell r="H35">
            <v>0</v>
          </cell>
          <cell r="I35">
            <v>0</v>
          </cell>
          <cell r="J35">
            <v>0</v>
          </cell>
          <cell r="K35">
            <v>0</v>
          </cell>
          <cell r="O35" t="str">
            <v>Chờ thanh lý</v>
          </cell>
          <cell r="P35">
            <v>0</v>
          </cell>
          <cell r="Q35">
            <v>0</v>
          </cell>
          <cell r="R35">
            <v>0</v>
          </cell>
          <cell r="S35">
            <v>0</v>
          </cell>
          <cell r="T35">
            <v>0</v>
          </cell>
          <cell r="U35">
            <v>0</v>
          </cell>
          <cell r="Z35" t="str">
            <v>Awaiting for disposal</v>
          </cell>
          <cell r="AA35">
            <v>0</v>
          </cell>
          <cell r="AB35">
            <v>0</v>
          </cell>
          <cell r="AC35">
            <v>0</v>
          </cell>
          <cell r="AD35">
            <v>0</v>
          </cell>
          <cell r="AE35">
            <v>0</v>
          </cell>
          <cell r="AF35">
            <v>0</v>
          </cell>
          <cell r="AJ35" t="str">
            <v>Chờ thanh lý</v>
          </cell>
          <cell r="AK35">
            <v>0</v>
          </cell>
          <cell r="AL35">
            <v>0</v>
          </cell>
          <cell r="AM35">
            <v>0</v>
          </cell>
          <cell r="AN35">
            <v>0</v>
          </cell>
          <cell r="AO35">
            <v>0</v>
          </cell>
          <cell r="AP35">
            <v>0</v>
          </cell>
        </row>
        <row r="36">
          <cell r="E36" t="str">
            <v>Not used</v>
          </cell>
          <cell r="F36">
            <v>0</v>
          </cell>
          <cell r="G36">
            <v>0</v>
          </cell>
          <cell r="H36">
            <v>0</v>
          </cell>
          <cell r="I36">
            <v>0</v>
          </cell>
          <cell r="J36">
            <v>0</v>
          </cell>
          <cell r="K36">
            <v>0</v>
          </cell>
          <cell r="O36" t="str">
            <v>Không sử dụng</v>
          </cell>
          <cell r="P36">
            <v>0</v>
          </cell>
          <cell r="Q36">
            <v>0</v>
          </cell>
          <cell r="R36">
            <v>0</v>
          </cell>
          <cell r="S36">
            <v>0</v>
          </cell>
          <cell r="T36">
            <v>0</v>
          </cell>
          <cell r="U36">
            <v>0</v>
          </cell>
          <cell r="Z36" t="str">
            <v>Not used</v>
          </cell>
          <cell r="AA36">
            <v>0</v>
          </cell>
          <cell r="AB36">
            <v>0</v>
          </cell>
          <cell r="AC36">
            <v>0</v>
          </cell>
          <cell r="AD36">
            <v>0</v>
          </cell>
          <cell r="AE36">
            <v>0</v>
          </cell>
          <cell r="AF36">
            <v>0</v>
          </cell>
          <cell r="AJ36" t="str">
            <v>Không sử dụng</v>
          </cell>
          <cell r="AK36">
            <v>0</v>
          </cell>
          <cell r="AL36">
            <v>0</v>
          </cell>
          <cell r="AM36">
            <v>0</v>
          </cell>
          <cell r="AN36">
            <v>0</v>
          </cell>
          <cell r="AO36">
            <v>0</v>
          </cell>
          <cell r="AP36">
            <v>0</v>
          </cell>
        </row>
        <row r="38">
          <cell r="E38" t="str">
            <v>Accumulated depreciation</v>
          </cell>
          <cell r="O38" t="str">
            <v>Giá trị hao mòn lũy kế</v>
          </cell>
          <cell r="Z38" t="str">
            <v>Accumulated depreciation</v>
          </cell>
          <cell r="AJ38" t="str">
            <v>Giá trị hao mòn lũy kế</v>
          </cell>
        </row>
        <row r="39">
          <cell r="E39" t="str">
            <v>Beginning balance</v>
          </cell>
          <cell r="F39">
            <v>0</v>
          </cell>
          <cell r="G39">
            <v>0</v>
          </cell>
          <cell r="H39">
            <v>0</v>
          </cell>
          <cell r="I39">
            <v>0</v>
          </cell>
          <cell r="J39">
            <v>0</v>
          </cell>
          <cell r="K39">
            <v>0</v>
          </cell>
          <cell r="O39" t="str">
            <v xml:space="preserve">Số dư đầu năm </v>
          </cell>
          <cell r="P39">
            <v>0</v>
          </cell>
          <cell r="Q39">
            <v>0</v>
          </cell>
          <cell r="R39">
            <v>0</v>
          </cell>
          <cell r="S39">
            <v>0</v>
          </cell>
          <cell r="T39">
            <v>0</v>
          </cell>
          <cell r="U39">
            <v>0</v>
          </cell>
          <cell r="Z39" t="str">
            <v>Beginning balance</v>
          </cell>
          <cell r="AA39">
            <v>0</v>
          </cell>
          <cell r="AB39">
            <v>0</v>
          </cell>
          <cell r="AC39">
            <v>0</v>
          </cell>
          <cell r="AD39">
            <v>0</v>
          </cell>
          <cell r="AE39">
            <v>0</v>
          </cell>
          <cell r="AF39">
            <v>0</v>
          </cell>
          <cell r="AJ39" t="str">
            <v xml:space="preserve">Số dư đầu năm </v>
          </cell>
          <cell r="AK39">
            <v>0</v>
          </cell>
          <cell r="AL39">
            <v>0</v>
          </cell>
          <cell r="AM39">
            <v>0</v>
          </cell>
          <cell r="AN39">
            <v>0</v>
          </cell>
          <cell r="AO39">
            <v>0</v>
          </cell>
          <cell r="AP39">
            <v>0</v>
          </cell>
        </row>
        <row r="40">
          <cell r="E40" t="str">
            <v>Depreciation</v>
          </cell>
          <cell r="F40">
            <v>0</v>
          </cell>
          <cell r="G40">
            <v>0</v>
          </cell>
          <cell r="H40">
            <v>0</v>
          </cell>
          <cell r="I40">
            <v>0</v>
          </cell>
          <cell r="J40">
            <v>0</v>
          </cell>
          <cell r="K40">
            <v>0</v>
          </cell>
          <cell r="O40" t="str">
            <v>Khấu hao</v>
          </cell>
          <cell r="P40">
            <v>0</v>
          </cell>
          <cell r="Q40">
            <v>0</v>
          </cell>
          <cell r="R40">
            <v>0</v>
          </cell>
          <cell r="S40">
            <v>0</v>
          </cell>
          <cell r="T40">
            <v>0</v>
          </cell>
          <cell r="U40">
            <v>0</v>
          </cell>
          <cell r="Z40" t="str">
            <v>Depreciation</v>
          </cell>
          <cell r="AA40">
            <v>0</v>
          </cell>
          <cell r="AB40">
            <v>0</v>
          </cell>
          <cell r="AC40">
            <v>0</v>
          </cell>
          <cell r="AD40">
            <v>0</v>
          </cell>
          <cell r="AE40">
            <v>0</v>
          </cell>
          <cell r="AF40">
            <v>0</v>
          </cell>
          <cell r="AJ40" t="str">
            <v>Khấu hao</v>
          </cell>
          <cell r="AK40">
            <v>0</v>
          </cell>
          <cell r="AL40">
            <v>0</v>
          </cell>
          <cell r="AM40">
            <v>0</v>
          </cell>
          <cell r="AN40">
            <v>0</v>
          </cell>
          <cell r="AO40">
            <v>0</v>
          </cell>
          <cell r="AP40">
            <v>0</v>
          </cell>
        </row>
        <row r="41">
          <cell r="E41" t="str">
            <v>Other increases</v>
          </cell>
          <cell r="F41">
            <v>0</v>
          </cell>
          <cell r="G41">
            <v>0</v>
          </cell>
          <cell r="H41">
            <v>0</v>
          </cell>
          <cell r="I41">
            <v>0</v>
          </cell>
          <cell r="J41">
            <v>0</v>
          </cell>
          <cell r="K41">
            <v>0</v>
          </cell>
          <cell r="O41" t="str">
            <v>Tăng khác</v>
          </cell>
          <cell r="P41">
            <v>0</v>
          </cell>
          <cell r="Q41">
            <v>0</v>
          </cell>
          <cell r="R41">
            <v>0</v>
          </cell>
          <cell r="S41">
            <v>0</v>
          </cell>
          <cell r="T41">
            <v>0</v>
          </cell>
          <cell r="U41">
            <v>0</v>
          </cell>
          <cell r="Z41" t="str">
            <v>Other increases</v>
          </cell>
          <cell r="AA41">
            <v>0</v>
          </cell>
          <cell r="AB41">
            <v>0</v>
          </cell>
          <cell r="AC41">
            <v>0</v>
          </cell>
          <cell r="AD41">
            <v>0</v>
          </cell>
          <cell r="AE41">
            <v>0</v>
          </cell>
          <cell r="AF41">
            <v>0</v>
          </cell>
          <cell r="AJ41" t="str">
            <v>Tăng khác</v>
          </cell>
          <cell r="AK41">
            <v>0</v>
          </cell>
          <cell r="AL41">
            <v>0</v>
          </cell>
          <cell r="AM41">
            <v>0</v>
          </cell>
          <cell r="AN41">
            <v>0</v>
          </cell>
          <cell r="AO41">
            <v>0</v>
          </cell>
          <cell r="AP41">
            <v>0</v>
          </cell>
        </row>
        <row r="42">
          <cell r="E42" t="str">
            <v>Transferred to</v>
          </cell>
          <cell r="F42">
            <v>0</v>
          </cell>
          <cell r="G42">
            <v>0</v>
          </cell>
          <cell r="H42">
            <v>0</v>
          </cell>
          <cell r="I42">
            <v>0</v>
          </cell>
          <cell r="J42">
            <v>0</v>
          </cell>
          <cell r="K42">
            <v>0</v>
          </cell>
          <cell r="O42" t="str">
            <v>Chuyển sang</v>
          </cell>
          <cell r="P42">
            <v>0</v>
          </cell>
          <cell r="Q42">
            <v>0</v>
          </cell>
          <cell r="R42">
            <v>0</v>
          </cell>
          <cell r="S42">
            <v>0</v>
          </cell>
          <cell r="T42">
            <v>0</v>
          </cell>
          <cell r="U42">
            <v>0</v>
          </cell>
          <cell r="Z42" t="str">
            <v>Transferred to</v>
          </cell>
          <cell r="AA42">
            <v>0</v>
          </cell>
          <cell r="AB42">
            <v>0</v>
          </cell>
          <cell r="AC42">
            <v>0</v>
          </cell>
          <cell r="AD42">
            <v>0</v>
          </cell>
          <cell r="AE42">
            <v>0</v>
          </cell>
          <cell r="AF42">
            <v>0</v>
          </cell>
          <cell r="AJ42" t="str">
            <v>Chuyển sang</v>
          </cell>
          <cell r="AK42">
            <v>0</v>
          </cell>
          <cell r="AL42">
            <v>0</v>
          </cell>
          <cell r="AM42">
            <v>0</v>
          </cell>
          <cell r="AN42">
            <v>0</v>
          </cell>
          <cell r="AO42">
            <v>0</v>
          </cell>
          <cell r="AP42">
            <v>0</v>
          </cell>
        </row>
        <row r="43">
          <cell r="E43" t="str">
            <v>investment properties</v>
          </cell>
          <cell r="O43" t="str">
            <v>bất động sản đầu tư</v>
          </cell>
          <cell r="Z43" t="str">
            <v>investment properties</v>
          </cell>
          <cell r="AJ43" t="str">
            <v>bất động sản đầu tư</v>
          </cell>
        </row>
        <row r="44">
          <cell r="E44" t="str">
            <v>Transferred to</v>
          </cell>
          <cell r="F44">
            <v>0</v>
          </cell>
          <cell r="G44">
            <v>0</v>
          </cell>
          <cell r="H44">
            <v>0</v>
          </cell>
          <cell r="I44">
            <v>0</v>
          </cell>
          <cell r="J44">
            <v>0</v>
          </cell>
          <cell r="K44">
            <v>0</v>
          </cell>
          <cell r="O44" t="str">
            <v>Chuyển sang</v>
          </cell>
          <cell r="P44">
            <v>0</v>
          </cell>
          <cell r="Q44">
            <v>0</v>
          </cell>
          <cell r="R44">
            <v>0</v>
          </cell>
          <cell r="S44">
            <v>0</v>
          </cell>
          <cell r="T44">
            <v>0</v>
          </cell>
          <cell r="U44">
            <v>0</v>
          </cell>
          <cell r="Z44" t="str">
            <v>Transferred to</v>
          </cell>
          <cell r="AA44">
            <v>0</v>
          </cell>
          <cell r="AB44">
            <v>0</v>
          </cell>
          <cell r="AC44">
            <v>0</v>
          </cell>
          <cell r="AD44">
            <v>0</v>
          </cell>
          <cell r="AE44">
            <v>0</v>
          </cell>
          <cell r="AF44">
            <v>0</v>
          </cell>
          <cell r="AJ44" t="str">
            <v>Chuyển sang</v>
          </cell>
          <cell r="AK44">
            <v>0</v>
          </cell>
          <cell r="AL44">
            <v>0</v>
          </cell>
          <cell r="AM44">
            <v>0</v>
          </cell>
          <cell r="AN44">
            <v>0</v>
          </cell>
          <cell r="AO44">
            <v>0</v>
          </cell>
          <cell r="AP44">
            <v>0</v>
          </cell>
        </row>
        <row r="45">
          <cell r="E45" t="str">
            <v>long-term prepaid expenses</v>
          </cell>
          <cell r="O45" t="str">
            <v>chi phí trả trước dài hạn</v>
          </cell>
          <cell r="Z45" t="str">
            <v>long-term prepaid expenses</v>
          </cell>
          <cell r="AJ45" t="str">
            <v>chi phí trả trước dài hạn</v>
          </cell>
        </row>
        <row r="46">
          <cell r="E46" t="str">
            <v>Disposed</v>
          </cell>
          <cell r="F46">
            <v>0</v>
          </cell>
          <cell r="G46">
            <v>0</v>
          </cell>
          <cell r="H46">
            <v>0</v>
          </cell>
          <cell r="I46">
            <v>0</v>
          </cell>
          <cell r="J46">
            <v>0</v>
          </cell>
          <cell r="K46">
            <v>0</v>
          </cell>
          <cell r="O46" t="str">
            <v>Thanh lý</v>
          </cell>
          <cell r="P46">
            <v>0</v>
          </cell>
          <cell r="Q46">
            <v>0</v>
          </cell>
          <cell r="R46">
            <v>0</v>
          </cell>
          <cell r="S46">
            <v>0</v>
          </cell>
          <cell r="T46">
            <v>0</v>
          </cell>
          <cell r="U46">
            <v>0</v>
          </cell>
          <cell r="Z46" t="str">
            <v>Disposed</v>
          </cell>
          <cell r="AA46">
            <v>0</v>
          </cell>
          <cell r="AB46">
            <v>0</v>
          </cell>
          <cell r="AC46">
            <v>0</v>
          </cell>
          <cell r="AD46">
            <v>0</v>
          </cell>
          <cell r="AE46">
            <v>0</v>
          </cell>
          <cell r="AF46">
            <v>0</v>
          </cell>
          <cell r="AJ46" t="str">
            <v>Thanh lý</v>
          </cell>
          <cell r="AK46">
            <v>0</v>
          </cell>
          <cell r="AL46">
            <v>0</v>
          </cell>
          <cell r="AM46">
            <v>0</v>
          </cell>
          <cell r="AN46">
            <v>0</v>
          </cell>
          <cell r="AO46">
            <v>0</v>
          </cell>
          <cell r="AP46">
            <v>0</v>
          </cell>
        </row>
        <row r="47">
          <cell r="E47" t="str">
            <v>Other decreases</v>
          </cell>
          <cell r="F47">
            <v>0</v>
          </cell>
          <cell r="G47">
            <v>0</v>
          </cell>
          <cell r="H47">
            <v>0</v>
          </cell>
          <cell r="I47">
            <v>0</v>
          </cell>
          <cell r="J47">
            <v>0</v>
          </cell>
          <cell r="K47">
            <v>0</v>
          </cell>
          <cell r="O47" t="str">
            <v>Giảm khác</v>
          </cell>
          <cell r="P47">
            <v>0</v>
          </cell>
          <cell r="Q47">
            <v>0</v>
          </cell>
          <cell r="R47">
            <v>0</v>
          </cell>
          <cell r="S47">
            <v>0</v>
          </cell>
          <cell r="T47">
            <v>0</v>
          </cell>
          <cell r="U47">
            <v>0</v>
          </cell>
          <cell r="Z47" t="str">
            <v>Other decreases</v>
          </cell>
          <cell r="AA47">
            <v>0</v>
          </cell>
          <cell r="AB47">
            <v>0</v>
          </cell>
          <cell r="AC47">
            <v>0</v>
          </cell>
          <cell r="AD47">
            <v>0</v>
          </cell>
          <cell r="AE47">
            <v>0</v>
          </cell>
          <cell r="AF47">
            <v>0</v>
          </cell>
          <cell r="AJ47" t="str">
            <v>Giảm khác</v>
          </cell>
          <cell r="AK47">
            <v>0</v>
          </cell>
          <cell r="AL47">
            <v>0</v>
          </cell>
          <cell r="AM47">
            <v>0</v>
          </cell>
          <cell r="AN47">
            <v>0</v>
          </cell>
          <cell r="AO47">
            <v>0</v>
          </cell>
          <cell r="AP47">
            <v>0</v>
          </cell>
        </row>
        <row r="48">
          <cell r="Z48" t="str">
            <v>FX difference (*)</v>
          </cell>
          <cell r="AA48">
            <v>0</v>
          </cell>
          <cell r="AB48">
            <v>0</v>
          </cell>
          <cell r="AC48">
            <v>0</v>
          </cell>
          <cell r="AD48">
            <v>0</v>
          </cell>
          <cell r="AE48">
            <v>0</v>
          </cell>
          <cell r="AF48">
            <v>0</v>
          </cell>
          <cell r="AJ48" t="str">
            <v>CLTG (*)</v>
          </cell>
          <cell r="AK48">
            <v>0</v>
          </cell>
          <cell r="AL48">
            <v>0</v>
          </cell>
          <cell r="AM48">
            <v>0</v>
          </cell>
          <cell r="AN48">
            <v>0</v>
          </cell>
          <cell r="AO48">
            <v>0</v>
          </cell>
          <cell r="AP48">
            <v>0</v>
          </cell>
        </row>
        <row r="49">
          <cell r="E49" t="str">
            <v>Ending balance</v>
          </cell>
          <cell r="F49">
            <v>0</v>
          </cell>
          <cell r="G49">
            <v>0</v>
          </cell>
          <cell r="H49">
            <v>0</v>
          </cell>
          <cell r="I49">
            <v>0</v>
          </cell>
          <cell r="J49">
            <v>0</v>
          </cell>
          <cell r="K49">
            <v>0</v>
          </cell>
          <cell r="O49" t="str">
            <v>Số dư cuối năm</v>
          </cell>
          <cell r="P49">
            <v>0</v>
          </cell>
          <cell r="Q49">
            <v>0</v>
          </cell>
          <cell r="R49">
            <v>0</v>
          </cell>
          <cell r="S49">
            <v>0</v>
          </cell>
          <cell r="T49">
            <v>0</v>
          </cell>
          <cell r="U49">
            <v>0</v>
          </cell>
          <cell r="Z49" t="str">
            <v>Ending balance</v>
          </cell>
          <cell r="AA49">
            <v>0</v>
          </cell>
          <cell r="AB49">
            <v>0</v>
          </cell>
          <cell r="AC49">
            <v>0</v>
          </cell>
          <cell r="AD49">
            <v>0</v>
          </cell>
          <cell r="AE49">
            <v>0</v>
          </cell>
          <cell r="AF49">
            <v>0</v>
          </cell>
          <cell r="AJ49" t="str">
            <v>Số dư cuối năm</v>
          </cell>
          <cell r="AK49">
            <v>0</v>
          </cell>
          <cell r="AL49">
            <v>0</v>
          </cell>
          <cell r="AM49">
            <v>0</v>
          </cell>
          <cell r="AN49">
            <v>0</v>
          </cell>
          <cell r="AO49">
            <v>0</v>
          </cell>
          <cell r="AP49">
            <v>0</v>
          </cell>
        </row>
        <row r="51">
          <cell r="E51" t="str">
            <v>Net book value</v>
          </cell>
          <cell r="O51" t="str">
            <v>Giá trị còn lại</v>
          </cell>
          <cell r="Z51" t="str">
            <v>Net book value</v>
          </cell>
          <cell r="AJ51" t="str">
            <v>Giá trị còn lại</v>
          </cell>
        </row>
        <row r="52">
          <cell r="E52" t="str">
            <v>Beginning balance</v>
          </cell>
          <cell r="F52">
            <v>0</v>
          </cell>
          <cell r="G52">
            <v>0</v>
          </cell>
          <cell r="H52">
            <v>0</v>
          </cell>
          <cell r="I52">
            <v>0</v>
          </cell>
          <cell r="J52">
            <v>0</v>
          </cell>
          <cell r="K52">
            <v>0</v>
          </cell>
          <cell r="O52" t="str">
            <v>Tại ngày đầu năm</v>
          </cell>
          <cell r="P52">
            <v>0</v>
          </cell>
          <cell r="Q52">
            <v>0</v>
          </cell>
          <cell r="R52">
            <v>0</v>
          </cell>
          <cell r="S52">
            <v>0</v>
          </cell>
          <cell r="T52">
            <v>0</v>
          </cell>
          <cell r="U52">
            <v>0</v>
          </cell>
          <cell r="Z52" t="str">
            <v>Beginning balance</v>
          </cell>
          <cell r="AA52">
            <v>0</v>
          </cell>
          <cell r="AB52">
            <v>0</v>
          </cell>
          <cell r="AC52">
            <v>0</v>
          </cell>
          <cell r="AD52">
            <v>0</v>
          </cell>
          <cell r="AE52">
            <v>0</v>
          </cell>
          <cell r="AF52">
            <v>0</v>
          </cell>
          <cell r="AJ52" t="str">
            <v>Tại ngày đầu năm</v>
          </cell>
          <cell r="AK52">
            <v>0</v>
          </cell>
          <cell r="AL52">
            <v>0</v>
          </cell>
          <cell r="AM52">
            <v>0</v>
          </cell>
          <cell r="AN52">
            <v>0</v>
          </cell>
          <cell r="AO52">
            <v>0</v>
          </cell>
          <cell r="AP52">
            <v>0</v>
          </cell>
        </row>
        <row r="53">
          <cell r="E53" t="str">
            <v>Ending balance</v>
          </cell>
          <cell r="F53">
            <v>0</v>
          </cell>
          <cell r="G53">
            <v>0</v>
          </cell>
          <cell r="H53">
            <v>0</v>
          </cell>
          <cell r="I53">
            <v>0</v>
          </cell>
          <cell r="J53">
            <v>0</v>
          </cell>
          <cell r="K53">
            <v>0</v>
          </cell>
          <cell r="O53" t="str">
            <v>Tại ngày cuối năm</v>
          </cell>
          <cell r="P53">
            <v>0</v>
          </cell>
          <cell r="Q53">
            <v>0</v>
          </cell>
          <cell r="R53">
            <v>0</v>
          </cell>
          <cell r="S53">
            <v>0</v>
          </cell>
          <cell r="T53">
            <v>0</v>
          </cell>
          <cell r="U53">
            <v>0</v>
          </cell>
          <cell r="Z53" t="str">
            <v>Ending balance</v>
          </cell>
          <cell r="AA53">
            <v>0</v>
          </cell>
          <cell r="AB53">
            <v>0</v>
          </cell>
          <cell r="AC53">
            <v>0</v>
          </cell>
          <cell r="AD53">
            <v>0</v>
          </cell>
          <cell r="AE53">
            <v>0</v>
          </cell>
          <cell r="AF53">
            <v>0</v>
          </cell>
          <cell r="AJ53" t="str">
            <v>Tại ngày cuối năm</v>
          </cell>
          <cell r="AK53">
            <v>0</v>
          </cell>
          <cell r="AL53">
            <v>0</v>
          </cell>
          <cell r="AM53">
            <v>0</v>
          </cell>
          <cell r="AN53">
            <v>0</v>
          </cell>
          <cell r="AO53">
            <v>0</v>
          </cell>
          <cell r="AP53">
            <v>0</v>
          </cell>
        </row>
        <row r="55">
          <cell r="E55" t="str">
            <v>As at 31 December 2014, tangible fixed asset with the carrying amount of USD XXX (as at 31 December 2013: XXX USD) are pledged to secure bank loans of the Company.</v>
          </cell>
          <cell r="O55" t="str">
            <v>Tại ngày 31 tháng 12 năm 2014 tài sản cố định hữu hình có giá trị ghi sổ là XXX USD (tại ngày 31 tháng 12 năm 2013: XXX USD) được thế chấp tại ngân hàng để bảo đảm cho các khoản vay của Công ty.</v>
          </cell>
          <cell r="Z55" t="str">
            <v>As at 31 December 2014, tangible fixed asset with the carrying amount of USD XXX (as at 31 December 2013: XXX USD) are pledged to secure bank loans of the Company.</v>
          </cell>
          <cell r="AJ55" t="str">
            <v>Tại ngày 31 tháng 12 năm 2014 tài sản cố định hữu hình có giá trị ghi sổ là XXX USD (tại ngày 31 tháng 12 năm 2013: XXX USD) được thế chấp tại ngân hàng để bảo đảm cho các khoản vay của Công ty.</v>
          </cell>
        </row>
        <row r="58">
          <cell r="E58" t="str">
            <v>As at 31 March 2024, total cost of tangible fixed assets that have been fully depreciated but still in use is VND xxx,xxx,xxx.</v>
          </cell>
          <cell r="O58" t="str">
            <v>Tại ngày 31 tháng 03 năm 2024, tổng nguyên giá TSCĐ hữu hình đã khấu hao hết nhưng vẫn còn sử dụng là xxx.xxx.xxx VND.</v>
          </cell>
          <cell r="Z58" t="str">
            <v>As at 31 March 2024, total cost of tangible fixed assets that have been fully depreciated but still in use is VND xxx,xxx,xxx.</v>
          </cell>
          <cell r="AJ58" t="str">
            <v>Tại ngày 31 tháng 03 năm 2024, tổng nguyên giá TSCĐ hữu hình đã khấu hao hết nhưng vẫn còn sử dụng là xxx.xxx.xxx VND.</v>
          </cell>
        </row>
        <row r="60">
          <cell r="E60" t="str">
            <v>As at 31 March 2024, total cost of tangible fixed assets awaiting for disposal is VND xxx,xxx,xxx.</v>
          </cell>
          <cell r="O60" t="str">
            <v>Tại ngày 31 tháng 03 năm 2024, tổng nguyên giá TSCĐ hữu hình chờ thanh lý là xxx.xxx.xxx VND.</v>
          </cell>
          <cell r="Z60" t="str">
            <v>As at 31 March 2024, total cost of tangible fixed assets awaiting for disposal is VND xxx,xxx,xxx.</v>
          </cell>
          <cell r="AJ60" t="str">
            <v>Tại ngày 31 tháng 03 năm 2024, tổng nguyên giá TSCĐ hữu hình chờ thanh lý là xxx.xxx.xxx VND.</v>
          </cell>
        </row>
        <row r="63">
          <cell r="Z63" t="str">
            <v>FX difference (*): derived from the difference between exchange rates applied to translate.</v>
          </cell>
          <cell r="AJ63" t="str">
            <v>CLTG (*): phát sinh do sự khác nhau giữa các tỷ giá áp dụng để chuyển đổi.</v>
          </cell>
        </row>
        <row r="65">
          <cell r="D65" t="str">
            <v>.</v>
          </cell>
          <cell r="E65" t="str">
            <v>FINANCE LEASED FIXED ASSETS</v>
          </cell>
          <cell r="N65" t="str">
            <v>.</v>
          </cell>
          <cell r="O65" t="str">
            <v>TÀI SẢN CỐ ĐỊNH THUÊ TÀI CHÍNH</v>
          </cell>
          <cell r="Y65" t="str">
            <v>.</v>
          </cell>
          <cell r="Z65" t="str">
            <v>FINANCE LEASED FIXED ASSETS</v>
          </cell>
          <cell r="AI65" t="str">
            <v>.</v>
          </cell>
          <cell r="AJ65" t="str">
            <v>TÀI SẢN CỐ ĐỊNH THUÊ TÀI CHÍNH</v>
          </cell>
        </row>
        <row r="67">
          <cell r="F67" t="str">
            <v>Buildings &amp;
structures</v>
          </cell>
          <cell r="G67" t="str">
            <v>Machinery &amp;
equipment</v>
          </cell>
          <cell r="H67" t="str">
            <v>Means of
transportation
&amp; transmission</v>
          </cell>
          <cell r="I67" t="str">
            <v>Office
equipment</v>
          </cell>
          <cell r="J67" t="str">
            <v>Other
tangible
fixed assets</v>
          </cell>
          <cell r="K67" t="str">
            <v>Total</v>
          </cell>
          <cell r="P67" t="str">
            <v>Nhà cửa,
vật kiến trúc</v>
          </cell>
          <cell r="Q67" t="str">
            <v>Máy móc,
thiết bị</v>
          </cell>
          <cell r="R67" t="str">
            <v>Phương tiện vận tải và chuyền dẫn</v>
          </cell>
          <cell r="S67" t="str">
            <v>Thiết bị văn phòng</v>
          </cell>
          <cell r="T67" t="str">
            <v>Tài sản cố định hữu hình khác</v>
          </cell>
          <cell r="U67" t="str">
            <v>Tổng cộng</v>
          </cell>
          <cell r="AA67" t="str">
            <v>Buildings &amp;
structures</v>
          </cell>
          <cell r="AB67" t="str">
            <v>Machinery &amp;
equipment</v>
          </cell>
          <cell r="AC67" t="str">
            <v>Means of
transportation
&amp; transmission</v>
          </cell>
          <cell r="AD67" t="str">
            <v>Office
equipment</v>
          </cell>
          <cell r="AE67" t="str">
            <v>Other
tangible
fixed assets</v>
          </cell>
          <cell r="AF67" t="str">
            <v>Total</v>
          </cell>
          <cell r="AK67" t="str">
            <v>Nhà cửa,
vật kiến trúc</v>
          </cell>
          <cell r="AL67" t="str">
            <v>Máy móc,
thiết bị</v>
          </cell>
          <cell r="AM67" t="str">
            <v>Phương tiện vận tải và chuyền dẫn</v>
          </cell>
          <cell r="AN67" t="str">
            <v>Thiết bị văn phòng</v>
          </cell>
          <cell r="AO67" t="str">
            <v>Tài sản cố định hữu hình khác</v>
          </cell>
          <cell r="AP67" t="str">
            <v>Tổng cộng</v>
          </cell>
        </row>
        <row r="69">
          <cell r="E69" t="str">
            <v>Historical cost</v>
          </cell>
          <cell r="O69" t="str">
            <v>Nguyên giá</v>
          </cell>
          <cell r="Z69" t="str">
            <v>Historical cost</v>
          </cell>
          <cell r="AJ69" t="str">
            <v>Nguyên giá</v>
          </cell>
        </row>
        <row r="70">
          <cell r="E70" t="str">
            <v>Beginning balance</v>
          </cell>
          <cell r="F70">
            <v>0</v>
          </cell>
          <cell r="G70">
            <v>0</v>
          </cell>
          <cell r="H70">
            <v>0</v>
          </cell>
          <cell r="I70">
            <v>0</v>
          </cell>
          <cell r="J70">
            <v>0</v>
          </cell>
          <cell r="K70">
            <v>0</v>
          </cell>
          <cell r="O70" t="str">
            <v>Số dư đầu năm</v>
          </cell>
          <cell r="P70">
            <v>0</v>
          </cell>
          <cell r="Q70">
            <v>0</v>
          </cell>
          <cell r="R70">
            <v>0</v>
          </cell>
          <cell r="S70">
            <v>0</v>
          </cell>
          <cell r="T70">
            <v>0</v>
          </cell>
          <cell r="U70">
            <v>0</v>
          </cell>
          <cell r="Z70" t="str">
            <v>Beginning balance</v>
          </cell>
          <cell r="AA70">
            <v>0</v>
          </cell>
          <cell r="AB70">
            <v>0</v>
          </cell>
          <cell r="AC70">
            <v>0</v>
          </cell>
          <cell r="AD70">
            <v>0</v>
          </cell>
          <cell r="AE70">
            <v>0</v>
          </cell>
          <cell r="AF70">
            <v>0</v>
          </cell>
          <cell r="AJ70" t="str">
            <v>Số dư đầu năm</v>
          </cell>
          <cell r="AK70">
            <v>0</v>
          </cell>
          <cell r="AL70">
            <v>0</v>
          </cell>
          <cell r="AM70">
            <v>0</v>
          </cell>
          <cell r="AN70">
            <v>0</v>
          </cell>
          <cell r="AO70">
            <v>0</v>
          </cell>
          <cell r="AP70">
            <v>0</v>
          </cell>
        </row>
        <row r="71">
          <cell r="E71" t="str">
            <v>Financial lease</v>
          </cell>
          <cell r="F71">
            <v>0</v>
          </cell>
          <cell r="G71">
            <v>0</v>
          </cell>
          <cell r="H71">
            <v>0</v>
          </cell>
          <cell r="I71">
            <v>0</v>
          </cell>
          <cell r="J71">
            <v>0</v>
          </cell>
          <cell r="K71">
            <v>0</v>
          </cell>
          <cell r="O71" t="str">
            <v>Thuê tài chính trong năm</v>
          </cell>
          <cell r="P71">
            <v>0</v>
          </cell>
          <cell r="Q71">
            <v>0</v>
          </cell>
          <cell r="R71">
            <v>0</v>
          </cell>
          <cell r="S71">
            <v>0</v>
          </cell>
          <cell r="T71">
            <v>0</v>
          </cell>
          <cell r="U71">
            <v>0</v>
          </cell>
          <cell r="Z71" t="str">
            <v>Financial lease</v>
          </cell>
          <cell r="AA71">
            <v>0</v>
          </cell>
          <cell r="AB71">
            <v>0</v>
          </cell>
          <cell r="AC71">
            <v>0</v>
          </cell>
          <cell r="AD71">
            <v>0</v>
          </cell>
          <cell r="AE71">
            <v>0</v>
          </cell>
          <cell r="AF71">
            <v>0</v>
          </cell>
          <cell r="AJ71" t="str">
            <v>Thuê tài chính trong năm</v>
          </cell>
          <cell r="AK71">
            <v>0</v>
          </cell>
          <cell r="AL71">
            <v>0</v>
          </cell>
          <cell r="AM71">
            <v>0</v>
          </cell>
          <cell r="AN71">
            <v>0</v>
          </cell>
          <cell r="AO71">
            <v>0</v>
          </cell>
          <cell r="AP71">
            <v>0</v>
          </cell>
        </row>
        <row r="72">
          <cell r="E72" t="str">
            <v>Financial leased assets</v>
          </cell>
          <cell r="F72">
            <v>0</v>
          </cell>
          <cell r="G72">
            <v>0</v>
          </cell>
          <cell r="H72">
            <v>0</v>
          </cell>
          <cell r="I72">
            <v>0</v>
          </cell>
          <cell r="J72">
            <v>0</v>
          </cell>
          <cell r="K72">
            <v>0</v>
          </cell>
          <cell r="O72" t="str">
            <v xml:space="preserve">Mua lại TSCĐ </v>
          </cell>
          <cell r="P72">
            <v>0</v>
          </cell>
          <cell r="Q72">
            <v>0</v>
          </cell>
          <cell r="R72">
            <v>0</v>
          </cell>
          <cell r="S72">
            <v>0</v>
          </cell>
          <cell r="T72">
            <v>0</v>
          </cell>
          <cell r="U72">
            <v>0</v>
          </cell>
          <cell r="Z72" t="str">
            <v>Financial leased assets</v>
          </cell>
          <cell r="AA72">
            <v>0</v>
          </cell>
          <cell r="AB72">
            <v>0</v>
          </cell>
          <cell r="AC72">
            <v>0</v>
          </cell>
          <cell r="AD72">
            <v>0</v>
          </cell>
          <cell r="AE72">
            <v>0</v>
          </cell>
          <cell r="AF72">
            <v>0</v>
          </cell>
          <cell r="AJ72" t="str">
            <v xml:space="preserve">Mua lại TSCĐ </v>
          </cell>
          <cell r="AK72">
            <v>0</v>
          </cell>
          <cell r="AL72">
            <v>0</v>
          </cell>
          <cell r="AM72">
            <v>0</v>
          </cell>
          <cell r="AN72">
            <v>0</v>
          </cell>
          <cell r="AO72">
            <v>0</v>
          </cell>
          <cell r="AP72">
            <v>0</v>
          </cell>
        </row>
        <row r="73">
          <cell r="E73" t="str">
            <v>bought back</v>
          </cell>
          <cell r="O73" t="str">
            <v>thuê tài chính</v>
          </cell>
          <cell r="Z73" t="str">
            <v>bought back</v>
          </cell>
          <cell r="AJ73" t="str">
            <v>thuê tài chính</v>
          </cell>
        </row>
        <row r="74">
          <cell r="E74" t="str">
            <v>Other increases</v>
          </cell>
          <cell r="F74">
            <v>0</v>
          </cell>
          <cell r="G74">
            <v>0</v>
          </cell>
          <cell r="H74">
            <v>0</v>
          </cell>
          <cell r="I74">
            <v>0</v>
          </cell>
          <cell r="J74">
            <v>0</v>
          </cell>
          <cell r="K74">
            <v>0</v>
          </cell>
          <cell r="O74" t="str">
            <v>Tăng khác</v>
          </cell>
          <cell r="P74">
            <v>0</v>
          </cell>
          <cell r="Q74">
            <v>0</v>
          </cell>
          <cell r="R74">
            <v>0</v>
          </cell>
          <cell r="S74">
            <v>0</v>
          </cell>
          <cell r="T74">
            <v>0</v>
          </cell>
          <cell r="U74">
            <v>0</v>
          </cell>
          <cell r="Z74" t="str">
            <v>Other increases</v>
          </cell>
          <cell r="AA74">
            <v>0</v>
          </cell>
          <cell r="AB74">
            <v>0</v>
          </cell>
          <cell r="AC74">
            <v>0</v>
          </cell>
          <cell r="AD74">
            <v>0</v>
          </cell>
          <cell r="AE74">
            <v>0</v>
          </cell>
          <cell r="AF74">
            <v>0</v>
          </cell>
          <cell r="AJ74" t="str">
            <v>Tăng khác</v>
          </cell>
          <cell r="AK74">
            <v>0</v>
          </cell>
          <cell r="AL74">
            <v>0</v>
          </cell>
          <cell r="AM74">
            <v>0</v>
          </cell>
          <cell r="AN74">
            <v>0</v>
          </cell>
          <cell r="AO74">
            <v>0</v>
          </cell>
          <cell r="AP74">
            <v>0</v>
          </cell>
        </row>
        <row r="75">
          <cell r="E75" t="str">
            <v>Financial leased assets</v>
          </cell>
          <cell r="F75">
            <v>0</v>
          </cell>
          <cell r="G75">
            <v>0</v>
          </cell>
          <cell r="H75">
            <v>0</v>
          </cell>
          <cell r="I75">
            <v>0</v>
          </cell>
          <cell r="J75">
            <v>0</v>
          </cell>
          <cell r="K75">
            <v>0</v>
          </cell>
          <cell r="O75" t="str">
            <v xml:space="preserve">Trả lại TSCĐ </v>
          </cell>
          <cell r="P75">
            <v>0</v>
          </cell>
          <cell r="Q75">
            <v>0</v>
          </cell>
          <cell r="R75">
            <v>0</v>
          </cell>
          <cell r="S75">
            <v>0</v>
          </cell>
          <cell r="T75">
            <v>0</v>
          </cell>
          <cell r="U75">
            <v>0</v>
          </cell>
          <cell r="Z75" t="str">
            <v>Financial leased assets</v>
          </cell>
          <cell r="AA75">
            <v>0</v>
          </cell>
          <cell r="AB75">
            <v>0</v>
          </cell>
          <cell r="AC75">
            <v>0</v>
          </cell>
          <cell r="AD75">
            <v>0</v>
          </cell>
          <cell r="AE75">
            <v>0</v>
          </cell>
          <cell r="AF75">
            <v>0</v>
          </cell>
          <cell r="AJ75" t="str">
            <v xml:space="preserve">Trả lại TSCĐ </v>
          </cell>
          <cell r="AK75">
            <v>0</v>
          </cell>
          <cell r="AL75">
            <v>0</v>
          </cell>
          <cell r="AM75">
            <v>0</v>
          </cell>
          <cell r="AN75">
            <v>0</v>
          </cell>
          <cell r="AO75">
            <v>0</v>
          </cell>
          <cell r="AP75">
            <v>0</v>
          </cell>
        </row>
        <row r="76">
          <cell r="E76" t="str">
            <v>returned</v>
          </cell>
          <cell r="O76" t="str">
            <v>thuê tài chính</v>
          </cell>
          <cell r="Z76" t="str">
            <v>returned</v>
          </cell>
          <cell r="AJ76" t="str">
            <v>thuê tài chính</v>
          </cell>
        </row>
        <row r="77">
          <cell r="E77" t="str">
            <v>Other decreases</v>
          </cell>
          <cell r="F77">
            <v>0</v>
          </cell>
          <cell r="G77">
            <v>0</v>
          </cell>
          <cell r="H77">
            <v>0</v>
          </cell>
          <cell r="I77">
            <v>0</v>
          </cell>
          <cell r="J77">
            <v>0</v>
          </cell>
          <cell r="K77">
            <v>0</v>
          </cell>
          <cell r="O77" t="str">
            <v>Giảm khác</v>
          </cell>
          <cell r="P77">
            <v>0</v>
          </cell>
          <cell r="Q77">
            <v>0</v>
          </cell>
          <cell r="R77">
            <v>0</v>
          </cell>
          <cell r="S77">
            <v>0</v>
          </cell>
          <cell r="T77">
            <v>0</v>
          </cell>
          <cell r="U77">
            <v>0</v>
          </cell>
          <cell r="Z77" t="str">
            <v>Other decreases</v>
          </cell>
          <cell r="AA77">
            <v>0</v>
          </cell>
          <cell r="AB77">
            <v>0</v>
          </cell>
          <cell r="AC77">
            <v>0</v>
          </cell>
          <cell r="AD77">
            <v>0</v>
          </cell>
          <cell r="AE77">
            <v>0</v>
          </cell>
          <cell r="AF77">
            <v>0</v>
          </cell>
          <cell r="AJ77" t="str">
            <v>Giảm khác</v>
          </cell>
          <cell r="AK77">
            <v>0</v>
          </cell>
          <cell r="AL77">
            <v>0</v>
          </cell>
          <cell r="AM77">
            <v>0</v>
          </cell>
          <cell r="AN77">
            <v>0</v>
          </cell>
          <cell r="AO77">
            <v>0</v>
          </cell>
          <cell r="AP77">
            <v>0</v>
          </cell>
        </row>
        <row r="78">
          <cell r="Z78" t="str">
            <v>FX difference (*)</v>
          </cell>
          <cell r="AA78">
            <v>0</v>
          </cell>
          <cell r="AB78">
            <v>0</v>
          </cell>
          <cell r="AC78">
            <v>0</v>
          </cell>
          <cell r="AD78">
            <v>0</v>
          </cell>
          <cell r="AE78">
            <v>0</v>
          </cell>
          <cell r="AF78">
            <v>0</v>
          </cell>
          <cell r="AJ78" t="str">
            <v>CLTG (*)</v>
          </cell>
          <cell r="AK78">
            <v>0</v>
          </cell>
          <cell r="AL78">
            <v>0</v>
          </cell>
          <cell r="AM78">
            <v>0</v>
          </cell>
          <cell r="AN78">
            <v>0</v>
          </cell>
          <cell r="AO78">
            <v>0</v>
          </cell>
          <cell r="AP78">
            <v>0</v>
          </cell>
        </row>
        <row r="79">
          <cell r="E79" t="str">
            <v>Ending balance</v>
          </cell>
          <cell r="F79">
            <v>0</v>
          </cell>
          <cell r="G79">
            <v>0</v>
          </cell>
          <cell r="H79">
            <v>0</v>
          </cell>
          <cell r="I79">
            <v>0</v>
          </cell>
          <cell r="J79">
            <v>0</v>
          </cell>
          <cell r="K79">
            <v>0</v>
          </cell>
          <cell r="O79" t="str">
            <v>Số dư cuối năm</v>
          </cell>
          <cell r="P79">
            <v>0</v>
          </cell>
          <cell r="Q79">
            <v>0</v>
          </cell>
          <cell r="R79">
            <v>0</v>
          </cell>
          <cell r="S79">
            <v>0</v>
          </cell>
          <cell r="T79">
            <v>0</v>
          </cell>
          <cell r="U79">
            <v>0</v>
          </cell>
          <cell r="Z79" t="str">
            <v>Ending balance</v>
          </cell>
          <cell r="AA79">
            <v>0</v>
          </cell>
          <cell r="AB79">
            <v>0</v>
          </cell>
          <cell r="AC79">
            <v>0</v>
          </cell>
          <cell r="AD79">
            <v>0</v>
          </cell>
          <cell r="AE79">
            <v>0</v>
          </cell>
          <cell r="AF79">
            <v>0</v>
          </cell>
          <cell r="AJ79" t="str">
            <v>Số dư cuối năm</v>
          </cell>
          <cell r="AK79">
            <v>0</v>
          </cell>
          <cell r="AL79">
            <v>0</v>
          </cell>
          <cell r="AM79">
            <v>0</v>
          </cell>
          <cell r="AN79">
            <v>0</v>
          </cell>
          <cell r="AO79">
            <v>0</v>
          </cell>
          <cell r="AP79">
            <v>0</v>
          </cell>
        </row>
        <row r="81">
          <cell r="E81" t="str">
            <v>Accumulated depreciation</v>
          </cell>
          <cell r="O81" t="str">
            <v>Giá trị hao mòn lũy kế</v>
          </cell>
          <cell r="Z81" t="str">
            <v>Accumulated depreciation</v>
          </cell>
          <cell r="AJ81" t="str">
            <v>Giá trị hao mòn lũy kế</v>
          </cell>
        </row>
        <row r="82">
          <cell r="E82" t="str">
            <v>Beginning balance</v>
          </cell>
          <cell r="F82">
            <v>0</v>
          </cell>
          <cell r="G82">
            <v>0</v>
          </cell>
          <cell r="H82">
            <v>0</v>
          </cell>
          <cell r="I82">
            <v>0</v>
          </cell>
          <cell r="J82">
            <v>0</v>
          </cell>
          <cell r="K82">
            <v>0</v>
          </cell>
          <cell r="O82" t="str">
            <v xml:space="preserve">Số dư đầu năm </v>
          </cell>
          <cell r="P82">
            <v>0</v>
          </cell>
          <cell r="Q82">
            <v>0</v>
          </cell>
          <cell r="R82">
            <v>0</v>
          </cell>
          <cell r="S82">
            <v>0</v>
          </cell>
          <cell r="T82">
            <v>0</v>
          </cell>
          <cell r="U82">
            <v>0</v>
          </cell>
          <cell r="Z82" t="str">
            <v>Beginning balance</v>
          </cell>
          <cell r="AA82">
            <v>0</v>
          </cell>
          <cell r="AB82">
            <v>0</v>
          </cell>
          <cell r="AC82">
            <v>0</v>
          </cell>
          <cell r="AD82">
            <v>0</v>
          </cell>
          <cell r="AE82">
            <v>0</v>
          </cell>
          <cell r="AF82">
            <v>0</v>
          </cell>
          <cell r="AJ82" t="str">
            <v xml:space="preserve">Số dư đầu năm </v>
          </cell>
          <cell r="AK82">
            <v>0</v>
          </cell>
          <cell r="AL82">
            <v>0</v>
          </cell>
          <cell r="AM82">
            <v>0</v>
          </cell>
          <cell r="AN82">
            <v>0</v>
          </cell>
          <cell r="AO82">
            <v>0</v>
          </cell>
          <cell r="AP82">
            <v>0</v>
          </cell>
        </row>
        <row r="83">
          <cell r="E83" t="str">
            <v>Depreciation</v>
          </cell>
          <cell r="F83">
            <v>0</v>
          </cell>
          <cell r="G83">
            <v>0</v>
          </cell>
          <cell r="H83">
            <v>0</v>
          </cell>
          <cell r="I83">
            <v>0</v>
          </cell>
          <cell r="J83">
            <v>0</v>
          </cell>
          <cell r="K83">
            <v>0</v>
          </cell>
          <cell r="O83" t="str">
            <v>Khấu hao</v>
          </cell>
          <cell r="P83">
            <v>0</v>
          </cell>
          <cell r="Q83">
            <v>0</v>
          </cell>
          <cell r="R83">
            <v>0</v>
          </cell>
          <cell r="S83">
            <v>0</v>
          </cell>
          <cell r="T83">
            <v>0</v>
          </cell>
          <cell r="U83">
            <v>0</v>
          </cell>
          <cell r="Z83" t="str">
            <v>Depreciation</v>
          </cell>
          <cell r="AA83">
            <v>0</v>
          </cell>
          <cell r="AB83">
            <v>0</v>
          </cell>
          <cell r="AC83">
            <v>0</v>
          </cell>
          <cell r="AD83">
            <v>0</v>
          </cell>
          <cell r="AE83">
            <v>0</v>
          </cell>
          <cell r="AF83">
            <v>0</v>
          </cell>
          <cell r="AJ83" t="str">
            <v>Khấu hao</v>
          </cell>
          <cell r="AK83">
            <v>0</v>
          </cell>
          <cell r="AL83">
            <v>0</v>
          </cell>
          <cell r="AM83">
            <v>0</v>
          </cell>
          <cell r="AN83">
            <v>0</v>
          </cell>
          <cell r="AO83">
            <v>0</v>
          </cell>
          <cell r="AP83">
            <v>0</v>
          </cell>
        </row>
        <row r="84">
          <cell r="E84" t="str">
            <v>Financial leased assets</v>
          </cell>
          <cell r="F84">
            <v>0</v>
          </cell>
          <cell r="G84">
            <v>0</v>
          </cell>
          <cell r="H84">
            <v>0</v>
          </cell>
          <cell r="I84">
            <v>0</v>
          </cell>
          <cell r="J84">
            <v>0</v>
          </cell>
          <cell r="K84">
            <v>0</v>
          </cell>
          <cell r="O84" t="str">
            <v>Mua lại TSCĐ</v>
          </cell>
          <cell r="P84">
            <v>0</v>
          </cell>
          <cell r="Q84">
            <v>0</v>
          </cell>
          <cell r="R84">
            <v>0</v>
          </cell>
          <cell r="S84">
            <v>0</v>
          </cell>
          <cell r="T84">
            <v>0</v>
          </cell>
          <cell r="U84">
            <v>0</v>
          </cell>
          <cell r="Z84" t="str">
            <v>Financial leased assets</v>
          </cell>
          <cell r="AA84">
            <v>0</v>
          </cell>
          <cell r="AB84">
            <v>0</v>
          </cell>
          <cell r="AC84">
            <v>0</v>
          </cell>
          <cell r="AD84">
            <v>0</v>
          </cell>
          <cell r="AE84">
            <v>0</v>
          </cell>
          <cell r="AF84">
            <v>0</v>
          </cell>
          <cell r="AJ84" t="str">
            <v>Mua lại TSCĐ</v>
          </cell>
          <cell r="AK84">
            <v>0</v>
          </cell>
          <cell r="AL84">
            <v>0</v>
          </cell>
          <cell r="AM84">
            <v>0</v>
          </cell>
          <cell r="AN84">
            <v>0</v>
          </cell>
          <cell r="AO84">
            <v>0</v>
          </cell>
          <cell r="AP84">
            <v>0</v>
          </cell>
        </row>
        <row r="85">
          <cell r="E85" t="str">
            <v>bought back</v>
          </cell>
          <cell r="O85" t="str">
            <v>thuê tài chính</v>
          </cell>
          <cell r="Z85" t="str">
            <v>bought back</v>
          </cell>
          <cell r="AJ85" t="str">
            <v>thuê tài chính</v>
          </cell>
        </row>
        <row r="86">
          <cell r="E86" t="str">
            <v>Other increases</v>
          </cell>
          <cell r="F86">
            <v>0</v>
          </cell>
          <cell r="G86">
            <v>0</v>
          </cell>
          <cell r="H86">
            <v>0</v>
          </cell>
          <cell r="I86">
            <v>0</v>
          </cell>
          <cell r="J86">
            <v>0</v>
          </cell>
          <cell r="K86">
            <v>0</v>
          </cell>
          <cell r="O86" t="str">
            <v>Tăng khác</v>
          </cell>
          <cell r="P86">
            <v>0</v>
          </cell>
          <cell r="Q86">
            <v>0</v>
          </cell>
          <cell r="R86">
            <v>0</v>
          </cell>
          <cell r="S86">
            <v>0</v>
          </cell>
          <cell r="T86">
            <v>0</v>
          </cell>
          <cell r="U86">
            <v>0</v>
          </cell>
          <cell r="Z86" t="str">
            <v>Other increases</v>
          </cell>
          <cell r="AA86">
            <v>0</v>
          </cell>
          <cell r="AB86">
            <v>0</v>
          </cell>
          <cell r="AC86">
            <v>0</v>
          </cell>
          <cell r="AD86">
            <v>0</v>
          </cell>
          <cell r="AE86">
            <v>0</v>
          </cell>
          <cell r="AF86">
            <v>0</v>
          </cell>
          <cell r="AJ86" t="str">
            <v>Tăng khác</v>
          </cell>
          <cell r="AK86">
            <v>0</v>
          </cell>
          <cell r="AL86">
            <v>0</v>
          </cell>
          <cell r="AM86">
            <v>0</v>
          </cell>
          <cell r="AN86">
            <v>0</v>
          </cell>
          <cell r="AO86">
            <v>0</v>
          </cell>
          <cell r="AP86">
            <v>0</v>
          </cell>
        </row>
        <row r="87">
          <cell r="E87" t="str">
            <v>Financial leased assets</v>
          </cell>
          <cell r="F87">
            <v>0</v>
          </cell>
          <cell r="G87">
            <v>0</v>
          </cell>
          <cell r="H87">
            <v>0</v>
          </cell>
          <cell r="I87">
            <v>0</v>
          </cell>
          <cell r="J87">
            <v>0</v>
          </cell>
          <cell r="K87">
            <v>0</v>
          </cell>
          <cell r="O87" t="str">
            <v xml:space="preserve">Trả lại TSCĐ </v>
          </cell>
          <cell r="P87">
            <v>0</v>
          </cell>
          <cell r="Q87">
            <v>0</v>
          </cell>
          <cell r="R87">
            <v>0</v>
          </cell>
          <cell r="S87">
            <v>0</v>
          </cell>
          <cell r="T87">
            <v>0</v>
          </cell>
          <cell r="U87">
            <v>0</v>
          </cell>
          <cell r="Z87" t="str">
            <v>Financial leased assets</v>
          </cell>
          <cell r="AA87">
            <v>0</v>
          </cell>
          <cell r="AB87">
            <v>0</v>
          </cell>
          <cell r="AC87">
            <v>0</v>
          </cell>
          <cell r="AD87">
            <v>0</v>
          </cell>
          <cell r="AE87">
            <v>0</v>
          </cell>
          <cell r="AF87">
            <v>0</v>
          </cell>
          <cell r="AJ87" t="str">
            <v xml:space="preserve">Trả lại TSCĐ </v>
          </cell>
          <cell r="AK87">
            <v>0</v>
          </cell>
          <cell r="AL87">
            <v>0</v>
          </cell>
          <cell r="AM87">
            <v>0</v>
          </cell>
          <cell r="AN87">
            <v>0</v>
          </cell>
          <cell r="AO87">
            <v>0</v>
          </cell>
          <cell r="AP87">
            <v>0</v>
          </cell>
        </row>
        <row r="88">
          <cell r="E88" t="str">
            <v>returned</v>
          </cell>
          <cell r="O88" t="str">
            <v>thuê tài chính</v>
          </cell>
          <cell r="Z88" t="str">
            <v>returned</v>
          </cell>
          <cell r="AJ88" t="str">
            <v>thuê tài chính</v>
          </cell>
        </row>
        <row r="89">
          <cell r="E89" t="str">
            <v>Other decreases</v>
          </cell>
          <cell r="F89">
            <v>0</v>
          </cell>
          <cell r="G89">
            <v>0</v>
          </cell>
          <cell r="H89">
            <v>0</v>
          </cell>
          <cell r="I89">
            <v>0</v>
          </cell>
          <cell r="J89">
            <v>0</v>
          </cell>
          <cell r="K89">
            <v>0</v>
          </cell>
          <cell r="O89" t="str">
            <v>Giảm khác</v>
          </cell>
          <cell r="P89">
            <v>0</v>
          </cell>
          <cell r="Q89">
            <v>0</v>
          </cell>
          <cell r="R89">
            <v>0</v>
          </cell>
          <cell r="S89">
            <v>0</v>
          </cell>
          <cell r="T89">
            <v>0</v>
          </cell>
          <cell r="U89">
            <v>0</v>
          </cell>
          <cell r="Z89" t="str">
            <v>Other decreases</v>
          </cell>
          <cell r="AA89">
            <v>0</v>
          </cell>
          <cell r="AB89">
            <v>0</v>
          </cell>
          <cell r="AC89">
            <v>0</v>
          </cell>
          <cell r="AD89">
            <v>0</v>
          </cell>
          <cell r="AE89">
            <v>0</v>
          </cell>
          <cell r="AF89">
            <v>0</v>
          </cell>
          <cell r="AJ89" t="str">
            <v>Giảm khác</v>
          </cell>
          <cell r="AK89">
            <v>0</v>
          </cell>
          <cell r="AL89">
            <v>0</v>
          </cell>
          <cell r="AM89">
            <v>0</v>
          </cell>
          <cell r="AN89">
            <v>0</v>
          </cell>
          <cell r="AO89">
            <v>0</v>
          </cell>
          <cell r="AP89">
            <v>0</v>
          </cell>
        </row>
        <row r="90">
          <cell r="Z90" t="str">
            <v>FX difference (*)</v>
          </cell>
          <cell r="AA90">
            <v>0</v>
          </cell>
          <cell r="AB90">
            <v>0</v>
          </cell>
          <cell r="AC90">
            <v>0</v>
          </cell>
          <cell r="AD90">
            <v>0</v>
          </cell>
          <cell r="AE90">
            <v>0</v>
          </cell>
          <cell r="AF90">
            <v>0</v>
          </cell>
          <cell r="AJ90" t="str">
            <v>CLTG (*)</v>
          </cell>
          <cell r="AK90">
            <v>0</v>
          </cell>
          <cell r="AL90">
            <v>0</v>
          </cell>
          <cell r="AM90">
            <v>0</v>
          </cell>
          <cell r="AN90">
            <v>0</v>
          </cell>
          <cell r="AO90">
            <v>0</v>
          </cell>
          <cell r="AP90">
            <v>0</v>
          </cell>
        </row>
        <row r="91">
          <cell r="E91" t="str">
            <v>Ending balance</v>
          </cell>
          <cell r="F91">
            <v>0</v>
          </cell>
          <cell r="G91">
            <v>0</v>
          </cell>
          <cell r="H91">
            <v>0</v>
          </cell>
          <cell r="I91">
            <v>0</v>
          </cell>
          <cell r="J91">
            <v>0</v>
          </cell>
          <cell r="K91">
            <v>0</v>
          </cell>
          <cell r="O91" t="str">
            <v>Số dư cuối năm</v>
          </cell>
          <cell r="P91">
            <v>0</v>
          </cell>
          <cell r="Q91">
            <v>0</v>
          </cell>
          <cell r="R91">
            <v>0</v>
          </cell>
          <cell r="S91">
            <v>0</v>
          </cell>
          <cell r="T91">
            <v>0</v>
          </cell>
          <cell r="U91">
            <v>0</v>
          </cell>
          <cell r="Z91" t="str">
            <v>Ending balance</v>
          </cell>
          <cell r="AA91">
            <v>0</v>
          </cell>
          <cell r="AB91">
            <v>0</v>
          </cell>
          <cell r="AC91">
            <v>0</v>
          </cell>
          <cell r="AD91">
            <v>0</v>
          </cell>
          <cell r="AE91">
            <v>0</v>
          </cell>
          <cell r="AF91">
            <v>0</v>
          </cell>
          <cell r="AJ91" t="str">
            <v>Số dư cuối năm</v>
          </cell>
          <cell r="AK91">
            <v>0</v>
          </cell>
          <cell r="AL91">
            <v>0</v>
          </cell>
          <cell r="AM91">
            <v>0</v>
          </cell>
          <cell r="AN91">
            <v>0</v>
          </cell>
          <cell r="AO91">
            <v>0</v>
          </cell>
          <cell r="AP91">
            <v>0</v>
          </cell>
        </row>
        <row r="93">
          <cell r="E93" t="str">
            <v>Net book value</v>
          </cell>
          <cell r="O93" t="str">
            <v>Giá trị còn lại</v>
          </cell>
          <cell r="Z93" t="str">
            <v>Net book value</v>
          </cell>
          <cell r="AJ93" t="str">
            <v>Giá trị còn lại</v>
          </cell>
        </row>
        <row r="94">
          <cell r="E94" t="str">
            <v>Beginning balance</v>
          </cell>
          <cell r="F94">
            <v>0</v>
          </cell>
          <cell r="G94">
            <v>0</v>
          </cell>
          <cell r="H94">
            <v>0</v>
          </cell>
          <cell r="I94">
            <v>0</v>
          </cell>
          <cell r="J94">
            <v>0</v>
          </cell>
          <cell r="K94">
            <v>0</v>
          </cell>
          <cell r="O94" t="str">
            <v>Tại ngày đầu năm</v>
          </cell>
          <cell r="P94">
            <v>0</v>
          </cell>
          <cell r="Q94">
            <v>0</v>
          </cell>
          <cell r="R94">
            <v>0</v>
          </cell>
          <cell r="S94">
            <v>0</v>
          </cell>
          <cell r="T94">
            <v>0</v>
          </cell>
          <cell r="U94">
            <v>0</v>
          </cell>
          <cell r="Z94" t="str">
            <v>Beginning balance</v>
          </cell>
          <cell r="AA94">
            <v>0</v>
          </cell>
          <cell r="AB94">
            <v>0</v>
          </cell>
          <cell r="AC94">
            <v>0</v>
          </cell>
          <cell r="AD94">
            <v>0</v>
          </cell>
          <cell r="AE94">
            <v>0</v>
          </cell>
          <cell r="AF94">
            <v>0</v>
          </cell>
          <cell r="AJ94" t="str">
            <v>Tại ngày đầu năm</v>
          </cell>
          <cell r="AK94">
            <v>0</v>
          </cell>
          <cell r="AL94">
            <v>0</v>
          </cell>
          <cell r="AM94">
            <v>0</v>
          </cell>
          <cell r="AN94">
            <v>0</v>
          </cell>
          <cell r="AO94">
            <v>0</v>
          </cell>
          <cell r="AP94">
            <v>0</v>
          </cell>
        </row>
        <row r="95">
          <cell r="E95" t="str">
            <v>Ending balance</v>
          </cell>
          <cell r="F95">
            <v>0</v>
          </cell>
          <cell r="G95">
            <v>0</v>
          </cell>
          <cell r="H95">
            <v>0</v>
          </cell>
          <cell r="I95">
            <v>0</v>
          </cell>
          <cell r="J95">
            <v>0</v>
          </cell>
          <cell r="K95">
            <v>0</v>
          </cell>
          <cell r="O95" t="str">
            <v>Tại ngày cuối năm</v>
          </cell>
          <cell r="P95">
            <v>0</v>
          </cell>
          <cell r="Q95">
            <v>0</v>
          </cell>
          <cell r="R95">
            <v>0</v>
          </cell>
          <cell r="S95">
            <v>0</v>
          </cell>
          <cell r="T95">
            <v>0</v>
          </cell>
          <cell r="U95">
            <v>0</v>
          </cell>
          <cell r="Z95" t="str">
            <v>Ending balance</v>
          </cell>
          <cell r="AA95">
            <v>0</v>
          </cell>
          <cell r="AB95">
            <v>0</v>
          </cell>
          <cell r="AC95">
            <v>0</v>
          </cell>
          <cell r="AD95">
            <v>0</v>
          </cell>
          <cell r="AE95">
            <v>0</v>
          </cell>
          <cell r="AF95">
            <v>0</v>
          </cell>
          <cell r="AJ95" t="str">
            <v>Tại ngày cuối năm</v>
          </cell>
          <cell r="AK95">
            <v>0</v>
          </cell>
          <cell r="AL95">
            <v>0</v>
          </cell>
          <cell r="AM95">
            <v>0</v>
          </cell>
          <cell r="AN95">
            <v>0</v>
          </cell>
          <cell r="AO95">
            <v>0</v>
          </cell>
          <cell r="AP95">
            <v>0</v>
          </cell>
        </row>
        <row r="97">
          <cell r="E97" t="str">
            <v>In which:</v>
          </cell>
          <cell r="O97" t="str">
            <v>Trong đó:</v>
          </cell>
          <cell r="Z97" t="str">
            <v>In which:</v>
          </cell>
          <cell r="AJ97" t="str">
            <v>Trong đó:</v>
          </cell>
        </row>
        <row r="98">
          <cell r="E98" t="str">
            <v xml:space="preserve">Pledged/mortgaged </v>
          </cell>
          <cell r="F98">
            <v>0</v>
          </cell>
          <cell r="G98">
            <v>0</v>
          </cell>
          <cell r="H98">
            <v>0</v>
          </cell>
          <cell r="I98">
            <v>0</v>
          </cell>
          <cell r="J98">
            <v>0</v>
          </cell>
          <cell r="K98">
            <v>0</v>
          </cell>
          <cell r="O98" t="str">
            <v xml:space="preserve">Cầm cố / thế chấp </v>
          </cell>
          <cell r="P98">
            <v>0</v>
          </cell>
          <cell r="Q98">
            <v>0</v>
          </cell>
          <cell r="R98">
            <v>0</v>
          </cell>
          <cell r="S98">
            <v>0</v>
          </cell>
          <cell r="T98">
            <v>0</v>
          </cell>
          <cell r="U98">
            <v>0</v>
          </cell>
          <cell r="Z98" t="str">
            <v xml:space="preserve">Pledged/mortgaged </v>
          </cell>
          <cell r="AA98">
            <v>0</v>
          </cell>
          <cell r="AB98">
            <v>0</v>
          </cell>
          <cell r="AC98">
            <v>0</v>
          </cell>
          <cell r="AD98">
            <v>0</v>
          </cell>
          <cell r="AE98">
            <v>0</v>
          </cell>
          <cell r="AF98">
            <v>0</v>
          </cell>
          <cell r="AJ98" t="str">
            <v xml:space="preserve">Cầm cố / thế chấp </v>
          </cell>
          <cell r="AK98">
            <v>0</v>
          </cell>
          <cell r="AL98">
            <v>0</v>
          </cell>
          <cell r="AM98">
            <v>0</v>
          </cell>
          <cell r="AN98">
            <v>0</v>
          </cell>
          <cell r="AO98">
            <v>0</v>
          </cell>
          <cell r="AP98">
            <v>0</v>
          </cell>
        </row>
        <row r="99">
          <cell r="E99" t="str">
            <v>as loan security</v>
          </cell>
          <cell r="O99" t="str">
            <v>bảo đảm tiền vay</v>
          </cell>
          <cell r="Z99" t="str">
            <v>as loan security</v>
          </cell>
          <cell r="AJ99" t="str">
            <v>bảo đảm tiền vay</v>
          </cell>
        </row>
        <row r="100">
          <cell r="E100" t="str">
            <v>Temporarily unused</v>
          </cell>
          <cell r="F100">
            <v>0</v>
          </cell>
          <cell r="G100">
            <v>0</v>
          </cell>
          <cell r="H100">
            <v>0</v>
          </cell>
          <cell r="I100">
            <v>0</v>
          </cell>
          <cell r="J100">
            <v>0</v>
          </cell>
          <cell r="K100">
            <v>0</v>
          </cell>
          <cell r="O100" t="str">
            <v>Không sử dụng</v>
          </cell>
          <cell r="P100">
            <v>0</v>
          </cell>
          <cell r="Q100">
            <v>0</v>
          </cell>
          <cell r="R100">
            <v>0</v>
          </cell>
          <cell r="S100">
            <v>0</v>
          </cell>
          <cell r="T100">
            <v>0</v>
          </cell>
          <cell r="U100">
            <v>0</v>
          </cell>
          <cell r="Z100" t="str">
            <v>Temporarily unused</v>
          </cell>
          <cell r="AA100">
            <v>0</v>
          </cell>
          <cell r="AB100">
            <v>0</v>
          </cell>
          <cell r="AC100">
            <v>0</v>
          </cell>
          <cell r="AD100">
            <v>0</v>
          </cell>
          <cell r="AE100">
            <v>0</v>
          </cell>
          <cell r="AF100">
            <v>0</v>
          </cell>
          <cell r="AJ100" t="str">
            <v>Không sử dụng</v>
          </cell>
          <cell r="AK100">
            <v>0</v>
          </cell>
          <cell r="AL100">
            <v>0</v>
          </cell>
          <cell r="AM100">
            <v>0</v>
          </cell>
          <cell r="AN100">
            <v>0</v>
          </cell>
          <cell r="AO100">
            <v>0</v>
          </cell>
          <cell r="AP100">
            <v>0</v>
          </cell>
        </row>
        <row r="101">
          <cell r="E101" t="str">
            <v>Fully depreciated</v>
          </cell>
          <cell r="F101">
            <v>0</v>
          </cell>
          <cell r="G101">
            <v>0</v>
          </cell>
          <cell r="H101">
            <v>0</v>
          </cell>
          <cell r="I101">
            <v>0</v>
          </cell>
          <cell r="J101">
            <v>0</v>
          </cell>
          <cell r="K101">
            <v>0</v>
          </cell>
          <cell r="O101" t="str">
            <v>Đã khấu hao hết</v>
          </cell>
          <cell r="P101">
            <v>0</v>
          </cell>
          <cell r="Q101">
            <v>0</v>
          </cell>
          <cell r="R101">
            <v>0</v>
          </cell>
          <cell r="S101">
            <v>0</v>
          </cell>
          <cell r="T101">
            <v>0</v>
          </cell>
          <cell r="U101">
            <v>0</v>
          </cell>
          <cell r="Z101" t="str">
            <v>Fully depreciated</v>
          </cell>
          <cell r="AA101">
            <v>0</v>
          </cell>
          <cell r="AB101">
            <v>0</v>
          </cell>
          <cell r="AC101">
            <v>0</v>
          </cell>
          <cell r="AD101">
            <v>0</v>
          </cell>
          <cell r="AE101">
            <v>0</v>
          </cell>
          <cell r="AF101">
            <v>0</v>
          </cell>
          <cell r="AJ101" t="str">
            <v>Đã khấu hao hết</v>
          </cell>
          <cell r="AK101">
            <v>0</v>
          </cell>
          <cell r="AL101">
            <v>0</v>
          </cell>
          <cell r="AM101">
            <v>0</v>
          </cell>
          <cell r="AN101">
            <v>0</v>
          </cell>
          <cell r="AO101">
            <v>0</v>
          </cell>
          <cell r="AP101">
            <v>0</v>
          </cell>
        </row>
        <row r="102">
          <cell r="E102" t="str">
            <v>Awaiting disposal</v>
          </cell>
          <cell r="F102">
            <v>0</v>
          </cell>
          <cell r="G102">
            <v>0</v>
          </cell>
          <cell r="H102">
            <v>0</v>
          </cell>
          <cell r="I102">
            <v>0</v>
          </cell>
          <cell r="J102">
            <v>0</v>
          </cell>
          <cell r="K102">
            <v>0</v>
          </cell>
          <cell r="O102" t="str">
            <v>Chờ thanh lý</v>
          </cell>
          <cell r="P102">
            <v>0</v>
          </cell>
          <cell r="Q102">
            <v>0</v>
          </cell>
          <cell r="R102">
            <v>0</v>
          </cell>
          <cell r="S102">
            <v>0</v>
          </cell>
          <cell r="T102">
            <v>0</v>
          </cell>
          <cell r="U102">
            <v>0</v>
          </cell>
          <cell r="Z102" t="str">
            <v>Awaiting disposal</v>
          </cell>
          <cell r="AA102">
            <v>0</v>
          </cell>
          <cell r="AB102">
            <v>0</v>
          </cell>
          <cell r="AC102">
            <v>0</v>
          </cell>
          <cell r="AD102">
            <v>0</v>
          </cell>
          <cell r="AE102">
            <v>0</v>
          </cell>
          <cell r="AF102">
            <v>0</v>
          </cell>
          <cell r="AJ102" t="str">
            <v>Chờ thanh lý</v>
          </cell>
          <cell r="AK102">
            <v>0</v>
          </cell>
          <cell r="AL102">
            <v>0</v>
          </cell>
          <cell r="AM102">
            <v>0</v>
          </cell>
          <cell r="AN102">
            <v>0</v>
          </cell>
          <cell r="AO102">
            <v>0</v>
          </cell>
          <cell r="AP102">
            <v>0</v>
          </cell>
        </row>
        <row r="104">
          <cell r="Z104" t="str">
            <v>FX difference (*): derived from the difference between exchange rates applied to translate.</v>
          </cell>
          <cell r="AJ104" t="str">
            <v>CLTG (*): phát sinh do sự khác nhau giữa các tỷ giá áp dụng để chuyển đổi.</v>
          </cell>
        </row>
        <row r="106">
          <cell r="D106" t="str">
            <v>.</v>
          </cell>
          <cell r="E106" t="str">
            <v>INTANGIBLE FIXED ASSETS</v>
          </cell>
          <cell r="N106" t="str">
            <v>.</v>
          </cell>
          <cell r="O106" t="str">
            <v>TÀI SẢN CỐ ĐỊNH VÔ HÌNH</v>
          </cell>
          <cell r="Y106" t="str">
            <v>.</v>
          </cell>
          <cell r="Z106" t="str">
            <v>INTANGIBLE FIXED ASSETS</v>
          </cell>
          <cell r="AI106" t="str">
            <v>.</v>
          </cell>
          <cell r="AJ106" t="str">
            <v>TÀI SẢN CỐ ĐỊNH VÔ HÌNH</v>
          </cell>
        </row>
        <row r="108">
          <cell r="G108" t="str">
            <v>Land use rights with definite term (i)</v>
          </cell>
          <cell r="H108" t="str">
            <v>Copyright,
patents</v>
          </cell>
          <cell r="I108" t="str">
            <v>Trademarks</v>
          </cell>
          <cell r="J108" t="str">
            <v>Computer
software</v>
          </cell>
          <cell r="K108" t="str">
            <v>Total</v>
          </cell>
          <cell r="Q108" t="str">
            <v>Quyền sử dụng đất có thời hạn (i)</v>
          </cell>
          <cell r="R108" t="str">
            <v>Bảng quyền,
bằng sáng chế</v>
          </cell>
          <cell r="S108" t="str">
            <v>Nhãn hiệu
 hàng hóa</v>
          </cell>
          <cell r="T108" t="str">
            <v>Phần mềm
máy tính</v>
          </cell>
          <cell r="U108" t="str">
            <v>Tổng cộng</v>
          </cell>
          <cell r="AB108" t="str">
            <v>Land use rights with definite term (i)</v>
          </cell>
          <cell r="AC108" t="str">
            <v>Copyright,
patents</v>
          </cell>
          <cell r="AD108" t="str">
            <v>Trademarks</v>
          </cell>
          <cell r="AE108" t="str">
            <v>Computer
software</v>
          </cell>
          <cell r="AF108" t="str">
            <v>Total</v>
          </cell>
          <cell r="AL108" t="str">
            <v>Quyền sử dụng đất có thời hạn (i)</v>
          </cell>
          <cell r="AM108" t="str">
            <v>Bảng quyền,
bằng sáng chế</v>
          </cell>
          <cell r="AN108" t="str">
            <v>Nhãn hiệu
 hàng hóa</v>
          </cell>
          <cell r="AO108" t="str">
            <v>Phần mềm
máy tính</v>
          </cell>
          <cell r="AP108" t="str">
            <v>Tổng cộng</v>
          </cell>
        </row>
        <row r="110">
          <cell r="E110" t="str">
            <v>Historical cost</v>
          </cell>
          <cell r="O110" t="str">
            <v>Nguyên giá</v>
          </cell>
          <cell r="Z110" t="str">
            <v>Historical cost</v>
          </cell>
          <cell r="AJ110" t="str">
            <v>Nguyên giá</v>
          </cell>
        </row>
        <row r="111">
          <cell r="E111" t="str">
            <v>Beginning balance</v>
          </cell>
          <cell r="G111">
            <v>0</v>
          </cell>
          <cell r="H111">
            <v>0</v>
          </cell>
          <cell r="I111">
            <v>0</v>
          </cell>
          <cell r="J111">
            <v>0</v>
          </cell>
          <cell r="K111">
            <v>0</v>
          </cell>
          <cell r="O111" t="str">
            <v xml:space="preserve">Số dư đầu năm </v>
          </cell>
          <cell r="Q111">
            <v>0</v>
          </cell>
          <cell r="R111">
            <v>0</v>
          </cell>
          <cell r="S111">
            <v>0</v>
          </cell>
          <cell r="T111">
            <v>0</v>
          </cell>
          <cell r="U111">
            <v>0</v>
          </cell>
          <cell r="Z111" t="str">
            <v>Beginning balance</v>
          </cell>
          <cell r="AB111">
            <v>0</v>
          </cell>
          <cell r="AC111">
            <v>0</v>
          </cell>
          <cell r="AD111">
            <v>0</v>
          </cell>
          <cell r="AE111">
            <v>0</v>
          </cell>
          <cell r="AF111">
            <v>0</v>
          </cell>
          <cell r="AJ111" t="str">
            <v xml:space="preserve">Số dư đầu năm </v>
          </cell>
          <cell r="AL111">
            <v>0</v>
          </cell>
          <cell r="AM111">
            <v>0</v>
          </cell>
          <cell r="AN111">
            <v>0</v>
          </cell>
          <cell r="AO111">
            <v>0</v>
          </cell>
          <cell r="AP111">
            <v>0</v>
          </cell>
        </row>
        <row r="112">
          <cell r="E112" t="str">
            <v>New purchases</v>
          </cell>
          <cell r="G112">
            <v>0</v>
          </cell>
          <cell r="H112">
            <v>0</v>
          </cell>
          <cell r="I112">
            <v>0</v>
          </cell>
          <cell r="J112">
            <v>0</v>
          </cell>
          <cell r="K112">
            <v>0</v>
          </cell>
          <cell r="O112" t="str">
            <v>Mua trong năm</v>
          </cell>
          <cell r="Q112">
            <v>0</v>
          </cell>
          <cell r="R112">
            <v>0</v>
          </cell>
          <cell r="S112">
            <v>0</v>
          </cell>
          <cell r="T112">
            <v>0</v>
          </cell>
          <cell r="U112">
            <v>0</v>
          </cell>
          <cell r="Z112" t="str">
            <v>New purchases</v>
          </cell>
          <cell r="AB112">
            <v>0</v>
          </cell>
          <cell r="AC112">
            <v>0</v>
          </cell>
          <cell r="AD112">
            <v>0</v>
          </cell>
          <cell r="AE112">
            <v>0</v>
          </cell>
          <cell r="AF112">
            <v>0</v>
          </cell>
          <cell r="AJ112" t="str">
            <v>Mua trong năm</v>
          </cell>
          <cell r="AL112">
            <v>0</v>
          </cell>
          <cell r="AM112">
            <v>0</v>
          </cell>
          <cell r="AN112">
            <v>0</v>
          </cell>
          <cell r="AO112">
            <v>0</v>
          </cell>
          <cell r="AP112">
            <v>0</v>
          </cell>
        </row>
        <row r="113">
          <cell r="E113" t="str">
            <v>Transferred from CIP</v>
          </cell>
          <cell r="G113">
            <v>0</v>
          </cell>
          <cell r="H113">
            <v>0</v>
          </cell>
          <cell r="I113">
            <v>0</v>
          </cell>
          <cell r="J113">
            <v>0</v>
          </cell>
          <cell r="K113">
            <v>0</v>
          </cell>
          <cell r="O113" t="str">
            <v>Đầu tư xây dựng cơ bản hoàn thành</v>
          </cell>
          <cell r="Q113">
            <v>0</v>
          </cell>
          <cell r="R113">
            <v>0</v>
          </cell>
          <cell r="S113">
            <v>0</v>
          </cell>
          <cell r="T113">
            <v>0</v>
          </cell>
          <cell r="U113">
            <v>0</v>
          </cell>
          <cell r="Z113" t="str">
            <v>Transferred from CIP</v>
          </cell>
          <cell r="AB113">
            <v>0</v>
          </cell>
          <cell r="AC113">
            <v>0</v>
          </cell>
          <cell r="AD113">
            <v>0</v>
          </cell>
          <cell r="AE113">
            <v>0</v>
          </cell>
          <cell r="AF113">
            <v>0</v>
          </cell>
          <cell r="AJ113" t="str">
            <v>Đầu tư xây dựng cơ bản hoàn thành</v>
          </cell>
          <cell r="AL113">
            <v>0</v>
          </cell>
          <cell r="AM113">
            <v>0</v>
          </cell>
          <cell r="AN113">
            <v>0</v>
          </cell>
          <cell r="AO113">
            <v>0</v>
          </cell>
          <cell r="AP113">
            <v>0</v>
          </cell>
        </row>
        <row r="114">
          <cell r="E114" t="str">
            <v>Other increases</v>
          </cell>
          <cell r="G114">
            <v>0</v>
          </cell>
          <cell r="H114">
            <v>0</v>
          </cell>
          <cell r="I114">
            <v>0</v>
          </cell>
          <cell r="J114">
            <v>0</v>
          </cell>
          <cell r="K114">
            <v>0</v>
          </cell>
          <cell r="O114" t="str">
            <v>Tăng khác</v>
          </cell>
          <cell r="Q114">
            <v>0</v>
          </cell>
          <cell r="R114">
            <v>0</v>
          </cell>
          <cell r="S114">
            <v>0</v>
          </cell>
          <cell r="T114">
            <v>0</v>
          </cell>
          <cell r="U114">
            <v>0</v>
          </cell>
          <cell r="Z114" t="str">
            <v>Other increases</v>
          </cell>
          <cell r="AB114">
            <v>0</v>
          </cell>
          <cell r="AC114">
            <v>0</v>
          </cell>
          <cell r="AD114">
            <v>0</v>
          </cell>
          <cell r="AE114">
            <v>0</v>
          </cell>
          <cell r="AF114">
            <v>0</v>
          </cell>
          <cell r="AJ114" t="str">
            <v>Tăng khác</v>
          </cell>
          <cell r="AL114">
            <v>0</v>
          </cell>
          <cell r="AM114">
            <v>0</v>
          </cell>
          <cell r="AN114">
            <v>0</v>
          </cell>
          <cell r="AO114">
            <v>0</v>
          </cell>
          <cell r="AP114">
            <v>0</v>
          </cell>
        </row>
        <row r="115">
          <cell r="E115" t="str">
            <v>Transferred to long-term prepaid expenses</v>
          </cell>
          <cell r="G115">
            <v>0</v>
          </cell>
          <cell r="H115">
            <v>0</v>
          </cell>
          <cell r="I115">
            <v>0</v>
          </cell>
          <cell r="J115">
            <v>0</v>
          </cell>
          <cell r="K115">
            <v>0</v>
          </cell>
          <cell r="O115" t="str">
            <v>Chuyển sang chi phí trả trước dài hạn</v>
          </cell>
          <cell r="Q115">
            <v>0</v>
          </cell>
          <cell r="R115">
            <v>0</v>
          </cell>
          <cell r="S115">
            <v>0</v>
          </cell>
          <cell r="T115">
            <v>0</v>
          </cell>
          <cell r="U115">
            <v>0</v>
          </cell>
          <cell r="Z115" t="str">
            <v>Transferred to long-term prepaid expenses</v>
          </cell>
          <cell r="AB115">
            <v>0</v>
          </cell>
          <cell r="AC115">
            <v>0</v>
          </cell>
          <cell r="AD115">
            <v>0</v>
          </cell>
          <cell r="AE115">
            <v>0</v>
          </cell>
          <cell r="AF115">
            <v>0</v>
          </cell>
          <cell r="AJ115" t="str">
            <v>Chuyển sang chi phí trả trước dài hạn</v>
          </cell>
          <cell r="AL115">
            <v>0</v>
          </cell>
          <cell r="AM115">
            <v>0</v>
          </cell>
          <cell r="AN115">
            <v>0</v>
          </cell>
          <cell r="AO115">
            <v>0</v>
          </cell>
          <cell r="AP115">
            <v>0</v>
          </cell>
        </row>
        <row r="116">
          <cell r="E116" t="str">
            <v>Disposed</v>
          </cell>
          <cell r="G116">
            <v>0</v>
          </cell>
          <cell r="H116">
            <v>0</v>
          </cell>
          <cell r="I116">
            <v>0</v>
          </cell>
          <cell r="J116">
            <v>0</v>
          </cell>
          <cell r="K116">
            <v>0</v>
          </cell>
          <cell r="O116" t="str">
            <v>Thanh lý</v>
          </cell>
          <cell r="Q116">
            <v>0</v>
          </cell>
          <cell r="R116">
            <v>0</v>
          </cell>
          <cell r="S116">
            <v>0</v>
          </cell>
          <cell r="T116">
            <v>0</v>
          </cell>
          <cell r="U116">
            <v>0</v>
          </cell>
          <cell r="Z116" t="str">
            <v>Disposed</v>
          </cell>
          <cell r="AB116">
            <v>0</v>
          </cell>
          <cell r="AC116">
            <v>0</v>
          </cell>
          <cell r="AD116">
            <v>0</v>
          </cell>
          <cell r="AE116">
            <v>0</v>
          </cell>
          <cell r="AF116">
            <v>0</v>
          </cell>
          <cell r="AJ116" t="str">
            <v>Thanh lý</v>
          </cell>
          <cell r="AL116">
            <v>0</v>
          </cell>
          <cell r="AM116">
            <v>0</v>
          </cell>
          <cell r="AN116">
            <v>0</v>
          </cell>
          <cell r="AO116">
            <v>0</v>
          </cell>
          <cell r="AP116">
            <v>0</v>
          </cell>
        </row>
        <row r="117">
          <cell r="E117" t="str">
            <v>Other decreases</v>
          </cell>
          <cell r="G117">
            <v>0</v>
          </cell>
          <cell r="H117">
            <v>0</v>
          </cell>
          <cell r="I117">
            <v>0</v>
          </cell>
          <cell r="J117">
            <v>0</v>
          </cell>
          <cell r="K117">
            <v>0</v>
          </cell>
          <cell r="O117" t="str">
            <v>Giảm khác</v>
          </cell>
          <cell r="Q117">
            <v>0</v>
          </cell>
          <cell r="R117">
            <v>0</v>
          </cell>
          <cell r="S117">
            <v>0</v>
          </cell>
          <cell r="T117">
            <v>0</v>
          </cell>
          <cell r="U117">
            <v>0</v>
          </cell>
          <cell r="Z117" t="str">
            <v>Other decreases</v>
          </cell>
          <cell r="AB117">
            <v>0</v>
          </cell>
          <cell r="AC117">
            <v>0</v>
          </cell>
          <cell r="AD117">
            <v>0</v>
          </cell>
          <cell r="AE117">
            <v>0</v>
          </cell>
          <cell r="AF117">
            <v>0</v>
          </cell>
          <cell r="AJ117" t="str">
            <v>Giảm khác</v>
          </cell>
          <cell r="AL117">
            <v>0</v>
          </cell>
          <cell r="AM117">
            <v>0</v>
          </cell>
          <cell r="AN117">
            <v>0</v>
          </cell>
          <cell r="AO117">
            <v>0</v>
          </cell>
          <cell r="AP117">
            <v>0</v>
          </cell>
        </row>
        <row r="118">
          <cell r="Z118" t="str">
            <v>FX difference (*)</v>
          </cell>
          <cell r="AB118">
            <v>0</v>
          </cell>
          <cell r="AC118">
            <v>0</v>
          </cell>
          <cell r="AD118">
            <v>0</v>
          </cell>
          <cell r="AE118">
            <v>0</v>
          </cell>
          <cell r="AF118">
            <v>0</v>
          </cell>
          <cell r="AJ118" t="str">
            <v>CLTG (*)</v>
          </cell>
          <cell r="AL118">
            <v>0</v>
          </cell>
          <cell r="AM118">
            <v>0</v>
          </cell>
          <cell r="AN118">
            <v>0</v>
          </cell>
          <cell r="AO118">
            <v>0</v>
          </cell>
          <cell r="AP118">
            <v>0</v>
          </cell>
        </row>
        <row r="119">
          <cell r="E119" t="str">
            <v>Ending balance</v>
          </cell>
          <cell r="G119">
            <v>0</v>
          </cell>
          <cell r="H119">
            <v>0</v>
          </cell>
          <cell r="I119">
            <v>0</v>
          </cell>
          <cell r="J119">
            <v>0</v>
          </cell>
          <cell r="K119">
            <v>0</v>
          </cell>
          <cell r="O119" t="str">
            <v>Số dư cuối năm</v>
          </cell>
          <cell r="Q119">
            <v>0</v>
          </cell>
          <cell r="R119">
            <v>0</v>
          </cell>
          <cell r="S119">
            <v>0</v>
          </cell>
          <cell r="T119">
            <v>0</v>
          </cell>
          <cell r="U119">
            <v>0</v>
          </cell>
          <cell r="Z119" t="str">
            <v>Ending balance</v>
          </cell>
          <cell r="AB119">
            <v>0</v>
          </cell>
          <cell r="AC119">
            <v>0</v>
          </cell>
          <cell r="AD119">
            <v>0</v>
          </cell>
          <cell r="AE119">
            <v>0</v>
          </cell>
          <cell r="AF119">
            <v>0</v>
          </cell>
          <cell r="AJ119" t="str">
            <v>Số dư cuối năm</v>
          </cell>
          <cell r="AL119">
            <v>0</v>
          </cell>
          <cell r="AM119">
            <v>0</v>
          </cell>
          <cell r="AN119">
            <v>0</v>
          </cell>
          <cell r="AO119">
            <v>0</v>
          </cell>
          <cell r="AP119">
            <v>0</v>
          </cell>
        </row>
        <row r="121">
          <cell r="E121" t="str">
            <v>In which:</v>
          </cell>
          <cell r="O121" t="str">
            <v>Trong đó:</v>
          </cell>
          <cell r="Z121" t="str">
            <v>In which:</v>
          </cell>
          <cell r="AJ121" t="str">
            <v>Trong đó:</v>
          </cell>
        </row>
        <row r="122">
          <cell r="E122" t="str">
            <v>Fully amortised</v>
          </cell>
          <cell r="G122">
            <v>0</v>
          </cell>
          <cell r="H122">
            <v>0</v>
          </cell>
          <cell r="I122">
            <v>0</v>
          </cell>
          <cell r="J122">
            <v>0</v>
          </cell>
          <cell r="K122">
            <v>0</v>
          </cell>
          <cell r="O122" t="str">
            <v>Đã khấu hao hết</v>
          </cell>
          <cell r="Q122">
            <v>0</v>
          </cell>
          <cell r="R122">
            <v>0</v>
          </cell>
          <cell r="S122">
            <v>0</v>
          </cell>
          <cell r="T122">
            <v>0</v>
          </cell>
          <cell r="U122">
            <v>0</v>
          </cell>
          <cell r="Z122" t="str">
            <v>Fully amortised</v>
          </cell>
          <cell r="AB122">
            <v>0</v>
          </cell>
          <cell r="AC122">
            <v>0</v>
          </cell>
          <cell r="AD122">
            <v>0</v>
          </cell>
          <cell r="AE122">
            <v>0</v>
          </cell>
          <cell r="AF122">
            <v>0</v>
          </cell>
          <cell r="AJ122" t="str">
            <v>Đã khấu hao hết</v>
          </cell>
          <cell r="AL122">
            <v>0</v>
          </cell>
          <cell r="AM122">
            <v>0</v>
          </cell>
          <cell r="AN122">
            <v>0</v>
          </cell>
          <cell r="AO122">
            <v>0</v>
          </cell>
          <cell r="AP122">
            <v>0</v>
          </cell>
        </row>
        <row r="124">
          <cell r="E124" t="str">
            <v>Accumulated amortisation</v>
          </cell>
          <cell r="O124" t="str">
            <v>Giá trị hao mòn lũy kế</v>
          </cell>
          <cell r="Z124" t="str">
            <v>Accumulated amortisation</v>
          </cell>
          <cell r="AJ124" t="str">
            <v>Giá trị hao mòn lũy kế</v>
          </cell>
        </row>
        <row r="125">
          <cell r="E125" t="str">
            <v>Beginning balance</v>
          </cell>
          <cell r="G125">
            <v>0</v>
          </cell>
          <cell r="H125">
            <v>0</v>
          </cell>
          <cell r="I125">
            <v>0</v>
          </cell>
          <cell r="J125">
            <v>0</v>
          </cell>
          <cell r="K125">
            <v>0</v>
          </cell>
          <cell r="O125" t="str">
            <v xml:space="preserve">Số dư đầu năm </v>
          </cell>
          <cell r="Q125">
            <v>0</v>
          </cell>
          <cell r="R125">
            <v>0</v>
          </cell>
          <cell r="S125">
            <v>0</v>
          </cell>
          <cell r="T125">
            <v>0</v>
          </cell>
          <cell r="U125">
            <v>0</v>
          </cell>
          <cell r="Z125" t="str">
            <v>Beginning balance</v>
          </cell>
          <cell r="AB125">
            <v>0</v>
          </cell>
          <cell r="AC125">
            <v>0</v>
          </cell>
          <cell r="AD125">
            <v>0</v>
          </cell>
          <cell r="AE125">
            <v>0</v>
          </cell>
          <cell r="AF125">
            <v>0</v>
          </cell>
          <cell r="AJ125" t="str">
            <v xml:space="preserve">Số dư đầu năm </v>
          </cell>
          <cell r="AL125">
            <v>0</v>
          </cell>
          <cell r="AM125">
            <v>0</v>
          </cell>
          <cell r="AN125">
            <v>0</v>
          </cell>
          <cell r="AO125">
            <v>0</v>
          </cell>
          <cell r="AP125">
            <v>0</v>
          </cell>
        </row>
        <row r="126">
          <cell r="E126" t="str">
            <v>Amortisation</v>
          </cell>
          <cell r="G126">
            <v>0</v>
          </cell>
          <cell r="H126">
            <v>0</v>
          </cell>
          <cell r="I126">
            <v>0</v>
          </cell>
          <cell r="J126">
            <v>0</v>
          </cell>
          <cell r="K126">
            <v>0</v>
          </cell>
          <cell r="O126" t="str">
            <v>Khấu hao</v>
          </cell>
          <cell r="Q126">
            <v>0</v>
          </cell>
          <cell r="R126">
            <v>0</v>
          </cell>
          <cell r="S126">
            <v>0</v>
          </cell>
          <cell r="T126">
            <v>0</v>
          </cell>
          <cell r="U126">
            <v>0</v>
          </cell>
          <cell r="Z126" t="str">
            <v>Amortisation</v>
          </cell>
          <cell r="AB126">
            <v>0</v>
          </cell>
          <cell r="AC126">
            <v>0</v>
          </cell>
          <cell r="AD126">
            <v>0</v>
          </cell>
          <cell r="AE126">
            <v>0</v>
          </cell>
          <cell r="AF126">
            <v>0</v>
          </cell>
          <cell r="AJ126" t="str">
            <v>Khấu hao</v>
          </cell>
          <cell r="AL126">
            <v>0</v>
          </cell>
          <cell r="AM126">
            <v>0</v>
          </cell>
          <cell r="AN126">
            <v>0</v>
          </cell>
          <cell r="AO126">
            <v>0</v>
          </cell>
          <cell r="AP126">
            <v>0</v>
          </cell>
        </row>
        <row r="127">
          <cell r="E127" t="str">
            <v>Other increases</v>
          </cell>
          <cell r="G127">
            <v>0</v>
          </cell>
          <cell r="H127">
            <v>0</v>
          </cell>
          <cell r="I127">
            <v>0</v>
          </cell>
          <cell r="J127">
            <v>0</v>
          </cell>
          <cell r="K127">
            <v>0</v>
          </cell>
          <cell r="O127" t="str">
            <v>Tăng khác</v>
          </cell>
          <cell r="Q127">
            <v>0</v>
          </cell>
          <cell r="R127">
            <v>0</v>
          </cell>
          <cell r="S127">
            <v>0</v>
          </cell>
          <cell r="T127">
            <v>0</v>
          </cell>
          <cell r="U127">
            <v>0</v>
          </cell>
          <cell r="Z127" t="str">
            <v>Other increases</v>
          </cell>
          <cell r="AB127">
            <v>0</v>
          </cell>
          <cell r="AC127">
            <v>0</v>
          </cell>
          <cell r="AD127">
            <v>0</v>
          </cell>
          <cell r="AE127">
            <v>0</v>
          </cell>
          <cell r="AF127">
            <v>0</v>
          </cell>
          <cell r="AJ127" t="str">
            <v>Tăng khác</v>
          </cell>
          <cell r="AL127">
            <v>0</v>
          </cell>
          <cell r="AM127">
            <v>0</v>
          </cell>
          <cell r="AN127">
            <v>0</v>
          </cell>
          <cell r="AO127">
            <v>0</v>
          </cell>
          <cell r="AP127">
            <v>0</v>
          </cell>
        </row>
        <row r="128">
          <cell r="E128" t="str">
            <v>Transferred to long-term prepaid expenses</v>
          </cell>
          <cell r="G128">
            <v>0</v>
          </cell>
          <cell r="H128">
            <v>0</v>
          </cell>
          <cell r="I128">
            <v>0</v>
          </cell>
          <cell r="J128">
            <v>0</v>
          </cell>
          <cell r="K128">
            <v>0</v>
          </cell>
          <cell r="O128" t="str">
            <v>Chuyển sang chi phí trả trước dài hạn</v>
          </cell>
          <cell r="Q128">
            <v>0</v>
          </cell>
          <cell r="R128">
            <v>0</v>
          </cell>
          <cell r="S128">
            <v>0</v>
          </cell>
          <cell r="T128">
            <v>0</v>
          </cell>
          <cell r="U128">
            <v>0</v>
          </cell>
          <cell r="Z128" t="str">
            <v>Transferred to long-term prepaid expenses</v>
          </cell>
          <cell r="AB128">
            <v>0</v>
          </cell>
          <cell r="AC128">
            <v>0</v>
          </cell>
          <cell r="AD128">
            <v>0</v>
          </cell>
          <cell r="AE128">
            <v>0</v>
          </cell>
          <cell r="AF128">
            <v>0</v>
          </cell>
          <cell r="AJ128" t="str">
            <v>Chuyển sang chi phí trả trước dài hạn</v>
          </cell>
          <cell r="AL128">
            <v>0</v>
          </cell>
          <cell r="AM128">
            <v>0</v>
          </cell>
          <cell r="AN128">
            <v>0</v>
          </cell>
          <cell r="AO128">
            <v>0</v>
          </cell>
          <cell r="AP128">
            <v>0</v>
          </cell>
        </row>
        <row r="129">
          <cell r="E129" t="str">
            <v>Disposed</v>
          </cell>
          <cell r="G129">
            <v>0</v>
          </cell>
          <cell r="H129">
            <v>0</v>
          </cell>
          <cell r="I129">
            <v>0</v>
          </cell>
          <cell r="J129">
            <v>0</v>
          </cell>
          <cell r="K129">
            <v>0</v>
          </cell>
          <cell r="O129" t="str">
            <v>Thanh lý</v>
          </cell>
          <cell r="Q129">
            <v>0</v>
          </cell>
          <cell r="R129">
            <v>0</v>
          </cell>
          <cell r="S129">
            <v>0</v>
          </cell>
          <cell r="T129">
            <v>0</v>
          </cell>
          <cell r="U129">
            <v>0</v>
          </cell>
          <cell r="Z129" t="str">
            <v>Disposed</v>
          </cell>
          <cell r="AB129">
            <v>0</v>
          </cell>
          <cell r="AC129">
            <v>0</v>
          </cell>
          <cell r="AD129">
            <v>0</v>
          </cell>
          <cell r="AE129">
            <v>0</v>
          </cell>
          <cell r="AF129">
            <v>0</v>
          </cell>
          <cell r="AJ129" t="str">
            <v>Thanh lý</v>
          </cell>
          <cell r="AL129">
            <v>0</v>
          </cell>
          <cell r="AM129">
            <v>0</v>
          </cell>
          <cell r="AN129">
            <v>0</v>
          </cell>
          <cell r="AO129">
            <v>0</v>
          </cell>
          <cell r="AP129">
            <v>0</v>
          </cell>
        </row>
        <row r="130">
          <cell r="E130" t="str">
            <v>Other decreases</v>
          </cell>
          <cell r="G130">
            <v>0</v>
          </cell>
          <cell r="H130">
            <v>0</v>
          </cell>
          <cell r="I130">
            <v>0</v>
          </cell>
          <cell r="J130">
            <v>0</v>
          </cell>
          <cell r="K130">
            <v>0</v>
          </cell>
          <cell r="O130" t="str">
            <v>Giảm khác</v>
          </cell>
          <cell r="Q130">
            <v>0</v>
          </cell>
          <cell r="R130">
            <v>0</v>
          </cell>
          <cell r="S130">
            <v>0</v>
          </cell>
          <cell r="T130">
            <v>0</v>
          </cell>
          <cell r="U130">
            <v>0</v>
          </cell>
          <cell r="Z130" t="str">
            <v>Other decreases</v>
          </cell>
          <cell r="AB130">
            <v>0</v>
          </cell>
          <cell r="AC130">
            <v>0</v>
          </cell>
          <cell r="AD130">
            <v>0</v>
          </cell>
          <cell r="AE130">
            <v>0</v>
          </cell>
          <cell r="AF130">
            <v>0</v>
          </cell>
          <cell r="AJ130" t="str">
            <v>Giảm khác</v>
          </cell>
          <cell r="AL130">
            <v>0</v>
          </cell>
          <cell r="AM130">
            <v>0</v>
          </cell>
          <cell r="AN130">
            <v>0</v>
          </cell>
          <cell r="AO130">
            <v>0</v>
          </cell>
          <cell r="AP130">
            <v>0</v>
          </cell>
        </row>
        <row r="131">
          <cell r="Z131" t="str">
            <v>FX difference (*)</v>
          </cell>
          <cell r="AB131">
            <v>0</v>
          </cell>
          <cell r="AC131">
            <v>0</v>
          </cell>
          <cell r="AD131">
            <v>0</v>
          </cell>
          <cell r="AE131">
            <v>0</v>
          </cell>
          <cell r="AF131">
            <v>0</v>
          </cell>
          <cell r="AJ131" t="str">
            <v>CLTG (*)</v>
          </cell>
          <cell r="AL131">
            <v>0</v>
          </cell>
          <cell r="AM131">
            <v>0</v>
          </cell>
          <cell r="AN131">
            <v>0</v>
          </cell>
          <cell r="AO131">
            <v>0</v>
          </cell>
          <cell r="AP131">
            <v>0</v>
          </cell>
        </row>
        <row r="132">
          <cell r="E132" t="str">
            <v>Ending balance</v>
          </cell>
          <cell r="G132">
            <v>0</v>
          </cell>
          <cell r="H132">
            <v>0</v>
          </cell>
          <cell r="I132">
            <v>0</v>
          </cell>
          <cell r="J132">
            <v>0</v>
          </cell>
          <cell r="K132">
            <v>0</v>
          </cell>
          <cell r="O132" t="str">
            <v>Số dư cuối năm</v>
          </cell>
          <cell r="Q132">
            <v>0</v>
          </cell>
          <cell r="R132">
            <v>0</v>
          </cell>
          <cell r="S132">
            <v>0</v>
          </cell>
          <cell r="T132">
            <v>0</v>
          </cell>
          <cell r="U132">
            <v>0</v>
          </cell>
          <cell r="Z132" t="str">
            <v>Ending balance</v>
          </cell>
          <cell r="AB132">
            <v>0</v>
          </cell>
          <cell r="AC132">
            <v>0</v>
          </cell>
          <cell r="AD132">
            <v>0</v>
          </cell>
          <cell r="AE132">
            <v>0</v>
          </cell>
          <cell r="AF132">
            <v>0</v>
          </cell>
          <cell r="AJ132" t="str">
            <v>Số dư cuối năm</v>
          </cell>
          <cell r="AL132">
            <v>0</v>
          </cell>
          <cell r="AM132">
            <v>0</v>
          </cell>
          <cell r="AN132">
            <v>0</v>
          </cell>
          <cell r="AO132">
            <v>0</v>
          </cell>
          <cell r="AP132">
            <v>0</v>
          </cell>
        </row>
        <row r="134">
          <cell r="E134" t="str">
            <v>Net book value</v>
          </cell>
          <cell r="O134" t="str">
            <v>Giá trị còn lại</v>
          </cell>
          <cell r="Z134" t="str">
            <v>Net book value</v>
          </cell>
          <cell r="AJ134" t="str">
            <v>Giá trị còn lại</v>
          </cell>
        </row>
        <row r="135">
          <cell r="E135" t="str">
            <v>Beginning balance</v>
          </cell>
          <cell r="G135">
            <v>0</v>
          </cell>
          <cell r="H135">
            <v>0</v>
          </cell>
          <cell r="I135">
            <v>0</v>
          </cell>
          <cell r="J135">
            <v>0</v>
          </cell>
          <cell r="K135">
            <v>0</v>
          </cell>
          <cell r="O135" t="str">
            <v>Tại ngày đầu năm</v>
          </cell>
          <cell r="Q135">
            <v>0</v>
          </cell>
          <cell r="R135">
            <v>0</v>
          </cell>
          <cell r="S135">
            <v>0</v>
          </cell>
          <cell r="T135">
            <v>0</v>
          </cell>
          <cell r="U135">
            <v>0</v>
          </cell>
          <cell r="Z135" t="str">
            <v>Beginning balance</v>
          </cell>
          <cell r="AB135">
            <v>0</v>
          </cell>
          <cell r="AC135">
            <v>0</v>
          </cell>
          <cell r="AD135">
            <v>0</v>
          </cell>
          <cell r="AE135">
            <v>0</v>
          </cell>
          <cell r="AF135">
            <v>0</v>
          </cell>
          <cell r="AJ135" t="str">
            <v>Tại ngày đầu năm</v>
          </cell>
          <cell r="AL135">
            <v>0</v>
          </cell>
          <cell r="AM135">
            <v>0</v>
          </cell>
          <cell r="AN135">
            <v>0</v>
          </cell>
          <cell r="AO135">
            <v>0</v>
          </cell>
          <cell r="AP135">
            <v>0</v>
          </cell>
        </row>
        <row r="136">
          <cell r="E136" t="str">
            <v>Ending balance</v>
          </cell>
          <cell r="G136">
            <v>0</v>
          </cell>
          <cell r="H136">
            <v>0</v>
          </cell>
          <cell r="I136">
            <v>0</v>
          </cell>
          <cell r="J136">
            <v>0</v>
          </cell>
          <cell r="K136">
            <v>0</v>
          </cell>
          <cell r="O136" t="str">
            <v>Tại ngày cuối năm</v>
          </cell>
          <cell r="Q136">
            <v>0</v>
          </cell>
          <cell r="R136">
            <v>0</v>
          </cell>
          <cell r="S136">
            <v>0</v>
          </cell>
          <cell r="T136">
            <v>0</v>
          </cell>
          <cell r="U136">
            <v>0</v>
          </cell>
          <cell r="Z136" t="str">
            <v>Ending balance</v>
          </cell>
          <cell r="AB136">
            <v>0</v>
          </cell>
          <cell r="AC136">
            <v>0</v>
          </cell>
          <cell r="AD136">
            <v>0</v>
          </cell>
          <cell r="AE136">
            <v>0</v>
          </cell>
          <cell r="AF136">
            <v>0</v>
          </cell>
          <cell r="AJ136" t="str">
            <v>Tại ngày cuối năm</v>
          </cell>
          <cell r="AL136">
            <v>0</v>
          </cell>
          <cell r="AM136">
            <v>0</v>
          </cell>
          <cell r="AN136">
            <v>0</v>
          </cell>
          <cell r="AO136">
            <v>0</v>
          </cell>
          <cell r="AP136">
            <v>0</v>
          </cell>
        </row>
        <row r="138">
          <cell r="D138" t="str">
            <v>(i)</v>
          </cell>
          <cell r="E138" t="str">
            <v>Land use rights with definite term (if any)</v>
          </cell>
          <cell r="N138" t="str">
            <v>(i)</v>
          </cell>
          <cell r="O138" t="str">
            <v>Quyền sử dụng đất có thời hạn (nếu có)</v>
          </cell>
          <cell r="Y138" t="str">
            <v>(i)</v>
          </cell>
          <cell r="Z138" t="str">
            <v>Land use rights with definite term (if any)</v>
          </cell>
          <cell r="AI138" t="str">
            <v>(i)</v>
          </cell>
          <cell r="AJ138" t="str">
            <v>Quyền sử dụng đất có thời hạn (nếu có)</v>
          </cell>
        </row>
        <row r="140">
          <cell r="E140" t="str">
            <v>Land use rights with definite term relates to the land located at [address on Land use rights Certificate]. In accordance with the Land use rights Certificate No [X] granted by [X] dated d month yyyy, the Company has right to use the land for [X] years.</v>
          </cell>
          <cell r="O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Z140" t="str">
            <v>Land use rights with definite term relates to the land located at [address on Land use rights Certificate]. In accordance with the Land use rights Certificate No [X] granted by [X] dated d month yyyy, the Company has right to use the land for [X] years.</v>
          </cell>
          <cell r="AJ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143">
          <cell r="E143" t="str">
            <v>As at 31 March 2024, total cost of intangible fixed assets that have been fully depreciated but still in use is VND xxx,xxx,xxx.</v>
          </cell>
          <cell r="O143" t="str">
            <v>Tại ngày 31 tháng 03 năm 2024, tổng nguyên giá TSCĐ vô hình đã khấu hao hết nhưng vẫn còn sử dụng là xxx.xxx.xxx VND.</v>
          </cell>
          <cell r="Z143" t="str">
            <v>As at 31 March 2024, total cost of intangible fixed assets that have been fully depreciated but still in use is VND xxx,xxx,xxx.</v>
          </cell>
          <cell r="AJ143" t="str">
            <v>Tại ngày 31 tháng 03 năm 2024, tổng nguyên giá TSCĐ vô hình đã khấu hao hết nhưng vẫn còn sử dụng là xxx.xxx.xxx VND.</v>
          </cell>
        </row>
        <row r="145">
          <cell r="Z145" t="str">
            <v>FX difference (*): derived from the difference between exchange rates applied to translate.</v>
          </cell>
          <cell r="AJ145" t="str">
            <v>CLTG (*): phát sinh do sự khác nhau giữa các tỷ giá áp dụng để chuyển đổi.</v>
          </cell>
        </row>
      </sheetData>
      <sheetData sheetId="12"/>
      <sheetData sheetId="13">
        <row r="40">
          <cell r="J40">
            <v>-1035571182</v>
          </cell>
        </row>
      </sheetData>
      <sheetData sheetId="14"/>
      <sheetData sheetId="15"/>
      <sheetData sheetId="16">
        <row r="5">
          <cell r="A5" t="str">
            <v/>
          </cell>
        </row>
        <row r="6">
          <cell r="A6" t="str">
            <v/>
          </cell>
        </row>
        <row r="7">
          <cell r="A7" t="e">
            <v>#N/A</v>
          </cell>
        </row>
        <row r="8">
          <cell r="A8" t="e">
            <v>#N/A</v>
          </cell>
        </row>
        <row r="9">
          <cell r="A9" t="str">
            <v/>
          </cell>
        </row>
        <row r="10">
          <cell r="A10" t="e">
            <v>#N/A</v>
          </cell>
        </row>
        <row r="11">
          <cell r="A11" t="e">
            <v>#N/A</v>
          </cell>
        </row>
        <row r="12">
          <cell r="A12" t="str">
            <v/>
          </cell>
        </row>
        <row r="13">
          <cell r="A13" t="str">
            <v/>
          </cell>
        </row>
        <row r="14">
          <cell r="A14" t="str">
            <v/>
          </cell>
        </row>
        <row r="15">
          <cell r="A15" t="e">
            <v>#N/A</v>
          </cell>
        </row>
        <row r="16">
          <cell r="A16" t="e">
            <v>#N/A</v>
          </cell>
        </row>
        <row r="17">
          <cell r="A17" t="str">
            <v/>
          </cell>
        </row>
        <row r="18">
          <cell r="A18" t="e">
            <v>#N/A</v>
          </cell>
        </row>
        <row r="19">
          <cell r="A19" t="e">
            <v>#N/A</v>
          </cell>
        </row>
        <row r="20">
          <cell r="A20" t="str">
            <v/>
          </cell>
        </row>
        <row r="21">
          <cell r="A21" t="e">
            <v>#N/A</v>
          </cell>
        </row>
        <row r="22">
          <cell r="A22" t="e">
            <v>#N/A</v>
          </cell>
        </row>
        <row r="23">
          <cell r="A23" t="str">
            <v/>
          </cell>
        </row>
        <row r="24">
          <cell r="A24" t="str">
            <v/>
          </cell>
        </row>
        <row r="25">
          <cell r="A25" t="e">
            <v>#N/A</v>
          </cell>
        </row>
        <row r="26">
          <cell r="A26" t="e">
            <v>#N/A</v>
          </cell>
        </row>
        <row r="27">
          <cell r="A27" t="str">
            <v/>
          </cell>
        </row>
        <row r="28">
          <cell r="A28" t="e">
            <v>#N/A</v>
          </cell>
        </row>
        <row r="29">
          <cell r="A29" t="e">
            <v>#N/A</v>
          </cell>
        </row>
        <row r="30">
          <cell r="A30" t="str">
            <v/>
          </cell>
        </row>
        <row r="31">
          <cell r="A31" t="str">
            <v/>
          </cell>
        </row>
        <row r="32">
          <cell r="A32" t="str">
            <v/>
          </cell>
        </row>
        <row r="33">
          <cell r="A33" t="e">
            <v>#N/A</v>
          </cell>
        </row>
        <row r="34">
          <cell r="A34" t="e">
            <v>#N/A</v>
          </cell>
        </row>
        <row r="35">
          <cell r="A35" t="e">
            <v>#N/A</v>
          </cell>
        </row>
        <row r="36">
          <cell r="A36" t="str">
            <v/>
          </cell>
        </row>
        <row r="37">
          <cell r="A37" t="e">
            <v>#N/A</v>
          </cell>
        </row>
        <row r="38">
          <cell r="A38" t="e">
            <v>#N/A</v>
          </cell>
        </row>
        <row r="39">
          <cell r="A39" t="str">
            <v/>
          </cell>
        </row>
        <row r="40">
          <cell r="A40" t="e">
            <v>#N/A</v>
          </cell>
        </row>
        <row r="41">
          <cell r="A41" t="e">
            <v>#N/A</v>
          </cell>
        </row>
        <row r="42">
          <cell r="A42" t="str">
            <v/>
          </cell>
        </row>
        <row r="43">
          <cell r="A43" t="str">
            <v/>
          </cell>
        </row>
        <row r="44">
          <cell r="A44" t="str">
            <v/>
          </cell>
        </row>
        <row r="45">
          <cell r="A45" t="e">
            <v>#N/A</v>
          </cell>
        </row>
        <row r="46">
          <cell r="A46" t="e">
            <v>#N/A</v>
          </cell>
        </row>
        <row r="47">
          <cell r="A47" t="str">
            <v/>
          </cell>
        </row>
        <row r="48">
          <cell r="A48" t="e">
            <v>#N/A</v>
          </cell>
        </row>
        <row r="49">
          <cell r="A49" t="e">
            <v>#N/A</v>
          </cell>
        </row>
        <row r="50">
          <cell r="A50" t="str">
            <v/>
          </cell>
        </row>
        <row r="51">
          <cell r="A51" t="str">
            <v/>
          </cell>
        </row>
        <row r="52">
          <cell r="A52" t="e">
            <v>#N/A</v>
          </cell>
        </row>
        <row r="53">
          <cell r="A53" t="e">
            <v>#N/A</v>
          </cell>
        </row>
        <row r="54">
          <cell r="A54" t="str">
            <v/>
          </cell>
        </row>
        <row r="55">
          <cell r="A55" t="e">
            <v>#N/A</v>
          </cell>
        </row>
        <row r="56">
          <cell r="A56" t="e">
            <v>#N/A</v>
          </cell>
        </row>
        <row r="57">
          <cell r="A57" t="str">
            <v/>
          </cell>
        </row>
        <row r="58">
          <cell r="A58" t="e">
            <v>#N/A</v>
          </cell>
        </row>
        <row r="59">
          <cell r="A59" t="e">
            <v>#N/A</v>
          </cell>
        </row>
        <row r="60">
          <cell r="A60" t="str">
            <v/>
          </cell>
        </row>
        <row r="61">
          <cell r="A61" t="e">
            <v>#N/A</v>
          </cell>
        </row>
        <row r="62">
          <cell r="A62" t="e">
            <v>#N/A</v>
          </cell>
        </row>
        <row r="63">
          <cell r="A63" t="str">
            <v/>
          </cell>
        </row>
        <row r="64">
          <cell r="A64" t="e">
            <v>#N/A</v>
          </cell>
        </row>
        <row r="65">
          <cell r="A65" t="e">
            <v>#N/A</v>
          </cell>
        </row>
        <row r="66">
          <cell r="A66" t="str">
            <v/>
          </cell>
        </row>
        <row r="67">
          <cell r="A67" t="e">
            <v>#N/A</v>
          </cell>
        </row>
        <row r="68">
          <cell r="A68" t="e">
            <v>#N/A</v>
          </cell>
        </row>
        <row r="69">
          <cell r="A69" t="str">
            <v/>
          </cell>
        </row>
        <row r="70">
          <cell r="A70" t="e">
            <v>#N/A</v>
          </cell>
        </row>
        <row r="71">
          <cell r="A71" t="e">
            <v>#N/A</v>
          </cell>
        </row>
        <row r="72">
          <cell r="A72" t="str">
            <v/>
          </cell>
        </row>
        <row r="73">
          <cell r="A73" t="e">
            <v>#N/A</v>
          </cell>
        </row>
        <row r="74">
          <cell r="A74" t="e">
            <v>#N/A</v>
          </cell>
        </row>
        <row r="75">
          <cell r="A75" t="str">
            <v/>
          </cell>
        </row>
        <row r="76">
          <cell r="A76" t="e">
            <v>#N/A</v>
          </cell>
        </row>
        <row r="77">
          <cell r="A77" t="e">
            <v>#N/A</v>
          </cell>
        </row>
        <row r="78">
          <cell r="A78" t="str">
            <v/>
          </cell>
        </row>
        <row r="79">
          <cell r="A79" t="e">
            <v>#N/A</v>
          </cell>
        </row>
        <row r="80">
          <cell r="A80" t="e">
            <v>#N/A</v>
          </cell>
        </row>
        <row r="81">
          <cell r="A81" t="str">
            <v/>
          </cell>
        </row>
        <row r="91">
          <cell r="A91" t="str">
            <v/>
          </cell>
        </row>
        <row r="92">
          <cell r="A92" t="e">
            <v>#N/A</v>
          </cell>
        </row>
        <row r="93">
          <cell r="A93" t="e">
            <v>#N/A</v>
          </cell>
        </row>
        <row r="94">
          <cell r="A94" t="str">
            <v/>
          </cell>
        </row>
        <row r="95">
          <cell r="A95" t="str">
            <v/>
          </cell>
        </row>
        <row r="96">
          <cell r="A96" t="str">
            <v/>
          </cell>
        </row>
        <row r="98">
          <cell r="A98" t="str">
            <v/>
          </cell>
        </row>
        <row r="99">
          <cell r="A99" t="str">
            <v/>
          </cell>
        </row>
        <row r="100">
          <cell r="A100" t="str">
            <v/>
          </cell>
        </row>
        <row r="101">
          <cell r="A101" t="str">
            <v/>
          </cell>
        </row>
      </sheetData>
      <sheetData sheetId="17"/>
      <sheetData sheetId="18">
        <row r="13">
          <cell r="A13" t="str">
            <v>11211</v>
          </cell>
        </row>
        <row r="14">
          <cell r="A14" t="str">
            <v>11222</v>
          </cell>
        </row>
        <row r="15">
          <cell r="A15" t="str">
            <v>1132</v>
          </cell>
        </row>
        <row r="16">
          <cell r="A16" t="str">
            <v>13111</v>
          </cell>
        </row>
        <row r="17">
          <cell r="A17" t="str">
            <v>13111xxx</v>
          </cell>
        </row>
        <row r="18">
          <cell r="A18" t="str">
            <v>13311</v>
          </cell>
        </row>
        <row r="19">
          <cell r="A19" t="str">
            <v>13312</v>
          </cell>
        </row>
        <row r="20">
          <cell r="A20" t="str">
            <v>138813</v>
          </cell>
        </row>
        <row r="21">
          <cell r="A21" t="str">
            <v>138818</v>
          </cell>
        </row>
        <row r="22">
          <cell r="A22" t="str">
            <v>151</v>
          </cell>
        </row>
        <row r="23">
          <cell r="A23" t="str">
            <v>1541</v>
          </cell>
        </row>
        <row r="24">
          <cell r="A24" t="str">
            <v>1561</v>
          </cell>
        </row>
        <row r="25">
          <cell r="A25" t="str">
            <v>2114</v>
          </cell>
        </row>
        <row r="26">
          <cell r="A26" t="str">
            <v>21414</v>
          </cell>
        </row>
        <row r="27">
          <cell r="A27" t="str">
            <v>24218</v>
          </cell>
        </row>
        <row r="28">
          <cell r="A28" t="str">
            <v>24222</v>
          </cell>
        </row>
        <row r="29">
          <cell r="A29" t="str">
            <v>24228</v>
          </cell>
        </row>
        <row r="30">
          <cell r="A30" t="str">
            <v>2441</v>
          </cell>
        </row>
        <row r="31">
          <cell r="A31" t="str">
            <v>33111</v>
          </cell>
        </row>
        <row r="32">
          <cell r="A32" t="str">
            <v>33111xxx</v>
          </cell>
        </row>
        <row r="33">
          <cell r="A33" t="str">
            <v>33112</v>
          </cell>
        </row>
        <row r="34">
          <cell r="A34" t="str">
            <v>333111</v>
          </cell>
        </row>
        <row r="35">
          <cell r="A35" t="str">
            <v>33312</v>
          </cell>
        </row>
        <row r="36">
          <cell r="A36" t="str">
            <v>33331</v>
          </cell>
        </row>
        <row r="37">
          <cell r="A37" t="str">
            <v>3334</v>
          </cell>
        </row>
        <row r="38">
          <cell r="A38" t="str">
            <v>3335</v>
          </cell>
        </row>
        <row r="39">
          <cell r="A39" t="str">
            <v>33382</v>
          </cell>
        </row>
        <row r="40">
          <cell r="A40" t="str">
            <v>33392</v>
          </cell>
        </row>
        <row r="41">
          <cell r="A41" t="str">
            <v>33411</v>
          </cell>
        </row>
        <row r="42">
          <cell r="A42" t="str">
            <v>33412</v>
          </cell>
        </row>
        <row r="43">
          <cell r="A43" t="str">
            <v>335</v>
          </cell>
        </row>
        <row r="44">
          <cell r="A44" t="str">
            <v>3382</v>
          </cell>
        </row>
        <row r="45">
          <cell r="A45" t="str">
            <v>3383</v>
          </cell>
        </row>
        <row r="46">
          <cell r="A46" t="str">
            <v>3384</v>
          </cell>
        </row>
        <row r="47">
          <cell r="A47" t="str">
            <v>3386</v>
          </cell>
        </row>
        <row r="48">
          <cell r="A48" t="str">
            <v>338811</v>
          </cell>
        </row>
        <row r="49">
          <cell r="A49" t="str">
            <v>4111</v>
          </cell>
        </row>
        <row r="50">
          <cell r="A50" t="str">
            <v>4131</v>
          </cell>
        </row>
        <row r="51">
          <cell r="A51" t="str">
            <v>4211</v>
          </cell>
        </row>
        <row r="52">
          <cell r="A52" t="str">
            <v>4212</v>
          </cell>
        </row>
        <row r="53">
          <cell r="A53" t="str">
            <v>5111</v>
          </cell>
        </row>
        <row r="54">
          <cell r="A54" t="str">
            <v>5113</v>
          </cell>
        </row>
        <row r="55">
          <cell r="A55" t="str">
            <v>5115</v>
          </cell>
        </row>
        <row r="56">
          <cell r="A56" t="str">
            <v>5151</v>
          </cell>
        </row>
        <row r="57">
          <cell r="A57" t="str">
            <v>5152</v>
          </cell>
        </row>
        <row r="58">
          <cell r="A58" t="str">
            <v>5158</v>
          </cell>
        </row>
        <row r="59">
          <cell r="A59" t="str">
            <v>6321</v>
          </cell>
        </row>
        <row r="60">
          <cell r="A60" t="str">
            <v>6323</v>
          </cell>
        </row>
        <row r="61">
          <cell r="A61" t="str">
            <v>6351</v>
          </cell>
        </row>
        <row r="62">
          <cell r="A62">
            <v>6358</v>
          </cell>
        </row>
        <row r="63">
          <cell r="A63" t="str">
            <v>64111</v>
          </cell>
        </row>
        <row r="64">
          <cell r="A64" t="str">
            <v>64112</v>
          </cell>
        </row>
        <row r="65">
          <cell r="A65" t="str">
            <v>64113</v>
          </cell>
        </row>
        <row r="66">
          <cell r="A66" t="str">
            <v>64115</v>
          </cell>
        </row>
        <row r="67">
          <cell r="A67" t="str">
            <v>64116</v>
          </cell>
        </row>
        <row r="68">
          <cell r="A68" t="str">
            <v>64117</v>
          </cell>
        </row>
        <row r="69">
          <cell r="A69" t="str">
            <v>6413</v>
          </cell>
        </row>
        <row r="70">
          <cell r="A70" t="str">
            <v>64141</v>
          </cell>
        </row>
        <row r="71">
          <cell r="A71" t="str">
            <v>641701</v>
          </cell>
        </row>
        <row r="72">
          <cell r="A72" t="str">
            <v>641702</v>
          </cell>
        </row>
        <row r="73">
          <cell r="A73" t="str">
            <v>641704</v>
          </cell>
        </row>
        <row r="74">
          <cell r="A74" t="str">
            <v>641705</v>
          </cell>
        </row>
        <row r="75">
          <cell r="A75" t="str">
            <v>641708</v>
          </cell>
        </row>
        <row r="76">
          <cell r="A76" t="str">
            <v>641709</v>
          </cell>
        </row>
        <row r="77">
          <cell r="A77" t="str">
            <v>641710</v>
          </cell>
        </row>
        <row r="78">
          <cell r="A78" t="str">
            <v>64181</v>
          </cell>
        </row>
        <row r="79">
          <cell r="A79" t="str">
            <v>64182</v>
          </cell>
        </row>
        <row r="80">
          <cell r="A80" t="str">
            <v>64183</v>
          </cell>
        </row>
        <row r="81">
          <cell r="A81" t="str">
            <v>64212</v>
          </cell>
        </row>
        <row r="82">
          <cell r="A82" t="str">
            <v>64215</v>
          </cell>
        </row>
        <row r="83">
          <cell r="A83" t="str">
            <v>64216</v>
          </cell>
        </row>
        <row r="84">
          <cell r="A84" t="str">
            <v>64218</v>
          </cell>
        </row>
        <row r="85">
          <cell r="A85" t="str">
            <v>6423</v>
          </cell>
        </row>
        <row r="86">
          <cell r="A86" t="str">
            <v>64241</v>
          </cell>
        </row>
        <row r="87">
          <cell r="A87" t="str">
            <v>6425</v>
          </cell>
        </row>
        <row r="88">
          <cell r="A88" t="str">
            <v>642701</v>
          </cell>
        </row>
        <row r="89">
          <cell r="A89" t="str">
            <v>642702</v>
          </cell>
        </row>
        <row r="90">
          <cell r="A90" t="str">
            <v>642703</v>
          </cell>
        </row>
        <row r="91">
          <cell r="A91" t="str">
            <v>642704</v>
          </cell>
        </row>
        <row r="92">
          <cell r="A92" t="str">
            <v>642705</v>
          </cell>
        </row>
        <row r="93">
          <cell r="A93" t="str">
            <v>642706</v>
          </cell>
        </row>
        <row r="94">
          <cell r="A94" t="str">
            <v>642708</v>
          </cell>
        </row>
        <row r="95">
          <cell r="A95" t="str">
            <v>642709</v>
          </cell>
        </row>
        <row r="96">
          <cell r="A96" t="str">
            <v>6428</v>
          </cell>
        </row>
        <row r="97">
          <cell r="A97" t="str">
            <v>7115</v>
          </cell>
        </row>
        <row r="98">
          <cell r="A98" t="str">
            <v>7118</v>
          </cell>
        </row>
        <row r="99">
          <cell r="A99" t="str">
            <v>8118</v>
          </cell>
        </row>
      </sheetData>
      <sheetData sheetId="19"/>
      <sheetData sheetId="20">
        <row r="14">
          <cell r="C14">
            <v>0</v>
          </cell>
          <cell r="D14">
            <v>0</v>
          </cell>
          <cell r="E14">
            <v>0</v>
          </cell>
          <cell r="F14">
            <v>0</v>
          </cell>
        </row>
        <row r="15">
          <cell r="C15">
            <v>0</v>
          </cell>
          <cell r="D15">
            <v>0</v>
          </cell>
          <cell r="E15">
            <v>0</v>
          </cell>
          <cell r="F15">
            <v>0</v>
          </cell>
          <cell r="G15">
            <v>0</v>
          </cell>
        </row>
        <row r="16">
          <cell r="C16">
            <v>0</v>
          </cell>
          <cell r="D16">
            <v>0</v>
          </cell>
          <cell r="E16">
            <v>0</v>
          </cell>
          <cell r="F16">
            <v>0</v>
          </cell>
          <cell r="G16">
            <v>0</v>
          </cell>
        </row>
        <row r="18">
          <cell r="C18">
            <v>0</v>
          </cell>
          <cell r="D18">
            <v>0</v>
          </cell>
          <cell r="E18">
            <v>0</v>
          </cell>
          <cell r="F18">
            <v>0</v>
          </cell>
          <cell r="G18">
            <v>0</v>
          </cell>
        </row>
        <row r="19">
          <cell r="C19">
            <v>0</v>
          </cell>
          <cell r="D19">
            <v>0</v>
          </cell>
          <cell r="E19">
            <v>0</v>
          </cell>
          <cell r="F19">
            <v>0</v>
          </cell>
          <cell r="G19">
            <v>0</v>
          </cell>
        </row>
        <row r="21">
          <cell r="C21">
            <v>0</v>
          </cell>
          <cell r="D21">
            <v>0</v>
          </cell>
          <cell r="E21">
            <v>0</v>
          </cell>
          <cell r="F21">
            <v>0</v>
          </cell>
          <cell r="G21">
            <v>0</v>
          </cell>
        </row>
        <row r="23">
          <cell r="C23">
            <v>0</v>
          </cell>
          <cell r="D23">
            <v>0</v>
          </cell>
          <cell r="E23">
            <v>0</v>
          </cell>
          <cell r="F23">
            <v>0</v>
          </cell>
          <cell r="G23">
            <v>0</v>
          </cell>
        </row>
        <row r="24">
          <cell r="C24">
            <v>0</v>
          </cell>
          <cell r="D24">
            <v>0</v>
          </cell>
          <cell r="E24">
            <v>0</v>
          </cell>
          <cell r="F24">
            <v>0</v>
          </cell>
          <cell r="G24">
            <v>0</v>
          </cell>
        </row>
        <row r="25">
          <cell r="C25">
            <v>0</v>
          </cell>
          <cell r="D25">
            <v>0</v>
          </cell>
          <cell r="E25">
            <v>0</v>
          </cell>
          <cell r="F25">
            <v>0</v>
          </cell>
          <cell r="G25">
            <v>0</v>
          </cell>
        </row>
        <row r="26">
          <cell r="C26">
            <v>0</v>
          </cell>
          <cell r="D26">
            <v>0</v>
          </cell>
          <cell r="E26">
            <v>0</v>
          </cell>
          <cell r="F26">
            <v>0</v>
          </cell>
          <cell r="G26">
            <v>0</v>
          </cell>
        </row>
        <row r="31">
          <cell r="C31">
            <v>0</v>
          </cell>
          <cell r="D31">
            <v>0</v>
          </cell>
          <cell r="E31">
            <v>0</v>
          </cell>
          <cell r="F31">
            <v>0</v>
          </cell>
          <cell r="G31">
            <v>0</v>
          </cell>
        </row>
        <row r="32">
          <cell r="C32">
            <v>0</v>
          </cell>
          <cell r="D32">
            <v>0</v>
          </cell>
          <cell r="E32">
            <v>0</v>
          </cell>
          <cell r="F32">
            <v>0</v>
          </cell>
          <cell r="G32">
            <v>0</v>
          </cell>
        </row>
        <row r="33">
          <cell r="C33">
            <v>0</v>
          </cell>
          <cell r="D33">
            <v>0</v>
          </cell>
          <cell r="E33">
            <v>0</v>
          </cell>
          <cell r="F33">
            <v>0</v>
          </cell>
          <cell r="G33">
            <v>0</v>
          </cell>
        </row>
        <row r="36">
          <cell r="C36">
            <v>0</v>
          </cell>
          <cell r="D36">
            <v>0</v>
          </cell>
          <cell r="E36">
            <v>0</v>
          </cell>
          <cell r="F36">
            <v>0</v>
          </cell>
        </row>
        <row r="37">
          <cell r="C37">
            <v>0</v>
          </cell>
          <cell r="D37">
            <v>0</v>
          </cell>
          <cell r="E37">
            <v>0</v>
          </cell>
          <cell r="F37">
            <v>0</v>
          </cell>
        </row>
        <row r="38">
          <cell r="C38">
            <v>0</v>
          </cell>
          <cell r="D38">
            <v>0</v>
          </cell>
          <cell r="E38">
            <v>0</v>
          </cell>
          <cell r="F38">
            <v>0</v>
          </cell>
          <cell r="G38">
            <v>0</v>
          </cell>
        </row>
        <row r="39">
          <cell r="C39">
            <v>0</v>
          </cell>
          <cell r="D39">
            <v>0</v>
          </cell>
          <cell r="E39">
            <v>0</v>
          </cell>
          <cell r="F39">
            <v>0</v>
          </cell>
          <cell r="G39">
            <v>0</v>
          </cell>
        </row>
        <row r="41">
          <cell r="C41">
            <v>0</v>
          </cell>
          <cell r="D41">
            <v>0</v>
          </cell>
          <cell r="E41">
            <v>0</v>
          </cell>
          <cell r="F41">
            <v>0</v>
          </cell>
          <cell r="G41">
            <v>0</v>
          </cell>
        </row>
        <row r="43">
          <cell r="C43">
            <v>0</v>
          </cell>
          <cell r="D43">
            <v>0</v>
          </cell>
          <cell r="E43">
            <v>0</v>
          </cell>
          <cell r="F43">
            <v>0</v>
          </cell>
          <cell r="G43">
            <v>0</v>
          </cell>
        </row>
        <row r="44">
          <cell r="C44">
            <v>0</v>
          </cell>
          <cell r="D44">
            <v>0</v>
          </cell>
          <cell r="E44">
            <v>0</v>
          </cell>
          <cell r="F44">
            <v>0</v>
          </cell>
          <cell r="G44">
            <v>0</v>
          </cell>
        </row>
        <row r="45">
          <cell r="C45">
            <v>0</v>
          </cell>
          <cell r="D45">
            <v>0</v>
          </cell>
          <cell r="E45">
            <v>0</v>
          </cell>
          <cell r="F45">
            <v>0</v>
          </cell>
          <cell r="G45">
            <v>0</v>
          </cell>
        </row>
        <row r="46">
          <cell r="C46">
            <v>0</v>
          </cell>
          <cell r="D46">
            <v>0</v>
          </cell>
          <cell r="E46">
            <v>0</v>
          </cell>
          <cell r="F46">
            <v>0</v>
          </cell>
          <cell r="G46">
            <v>0</v>
          </cell>
        </row>
        <row r="63">
          <cell r="C63">
            <v>0</v>
          </cell>
          <cell r="D63">
            <v>0</v>
          </cell>
          <cell r="E63">
            <v>0</v>
          </cell>
          <cell r="F63">
            <v>0</v>
          </cell>
          <cell r="G63">
            <v>0</v>
          </cell>
        </row>
        <row r="64">
          <cell r="C64">
            <v>0</v>
          </cell>
          <cell r="D64">
            <v>0</v>
          </cell>
          <cell r="E64">
            <v>0</v>
          </cell>
          <cell r="F64">
            <v>0</v>
          </cell>
          <cell r="G64">
            <v>0</v>
          </cell>
        </row>
        <row r="65">
          <cell r="C65">
            <v>0</v>
          </cell>
          <cell r="D65">
            <v>0</v>
          </cell>
          <cell r="E65">
            <v>0</v>
          </cell>
          <cell r="F65">
            <v>0</v>
          </cell>
          <cell r="G65">
            <v>0</v>
          </cell>
        </row>
        <row r="67">
          <cell r="C67">
            <v>0</v>
          </cell>
          <cell r="D67">
            <v>0</v>
          </cell>
          <cell r="E67">
            <v>0</v>
          </cell>
          <cell r="F67">
            <v>0</v>
          </cell>
          <cell r="G67">
            <v>0</v>
          </cell>
        </row>
        <row r="68">
          <cell r="C68">
            <v>0</v>
          </cell>
          <cell r="D68">
            <v>0</v>
          </cell>
          <cell r="E68">
            <v>0</v>
          </cell>
          <cell r="F68">
            <v>0</v>
          </cell>
          <cell r="G68">
            <v>0</v>
          </cell>
        </row>
        <row r="70">
          <cell r="C70">
            <v>0</v>
          </cell>
          <cell r="D70">
            <v>0</v>
          </cell>
          <cell r="E70">
            <v>0</v>
          </cell>
          <cell r="F70">
            <v>0</v>
          </cell>
          <cell r="G70">
            <v>0</v>
          </cell>
        </row>
        <row r="75">
          <cell r="C75">
            <v>0</v>
          </cell>
          <cell r="D75">
            <v>0</v>
          </cell>
          <cell r="E75">
            <v>0</v>
          </cell>
          <cell r="F75">
            <v>0</v>
          </cell>
          <cell r="G75">
            <v>0</v>
          </cell>
        </row>
        <row r="76">
          <cell r="C76">
            <v>0</v>
          </cell>
          <cell r="D76">
            <v>0</v>
          </cell>
          <cell r="E76">
            <v>0</v>
          </cell>
          <cell r="F76">
            <v>0</v>
          </cell>
          <cell r="G76">
            <v>0</v>
          </cell>
        </row>
        <row r="77">
          <cell r="C77">
            <v>0</v>
          </cell>
          <cell r="D77">
            <v>0</v>
          </cell>
          <cell r="E77">
            <v>0</v>
          </cell>
          <cell r="F77">
            <v>0</v>
          </cell>
          <cell r="G77">
            <v>0</v>
          </cell>
        </row>
        <row r="79">
          <cell r="C79">
            <v>0</v>
          </cell>
          <cell r="D79">
            <v>0</v>
          </cell>
          <cell r="E79">
            <v>0</v>
          </cell>
          <cell r="F79">
            <v>0</v>
          </cell>
          <cell r="G79">
            <v>0</v>
          </cell>
        </row>
        <row r="80">
          <cell r="C80">
            <v>0</v>
          </cell>
          <cell r="D80">
            <v>0</v>
          </cell>
          <cell r="E80">
            <v>0</v>
          </cell>
          <cell r="F80">
            <v>0</v>
          </cell>
          <cell r="G80">
            <v>0</v>
          </cell>
        </row>
        <row r="82">
          <cell r="C82">
            <v>0</v>
          </cell>
          <cell r="D82">
            <v>0</v>
          </cell>
          <cell r="E82">
            <v>0</v>
          </cell>
          <cell r="F82">
            <v>0</v>
          </cell>
          <cell r="G82">
            <v>0</v>
          </cell>
        </row>
        <row r="91">
          <cell r="C91">
            <v>0</v>
          </cell>
          <cell r="D91">
            <v>0</v>
          </cell>
          <cell r="E91">
            <v>0</v>
          </cell>
          <cell r="F91">
            <v>0</v>
          </cell>
          <cell r="G91">
            <v>0</v>
          </cell>
        </row>
        <row r="93">
          <cell r="C93">
            <v>0</v>
          </cell>
          <cell r="D93">
            <v>0</v>
          </cell>
          <cell r="E93">
            <v>0</v>
          </cell>
          <cell r="F93">
            <v>0</v>
          </cell>
          <cell r="G93">
            <v>0</v>
          </cell>
        </row>
        <row r="94">
          <cell r="C94">
            <v>0</v>
          </cell>
          <cell r="D94">
            <v>0</v>
          </cell>
          <cell r="E94">
            <v>0</v>
          </cell>
          <cell r="F94">
            <v>0</v>
          </cell>
          <cell r="G94">
            <v>0</v>
          </cell>
        </row>
        <row r="95">
          <cell r="C95">
            <v>0</v>
          </cell>
          <cell r="D95">
            <v>0</v>
          </cell>
          <cell r="E95">
            <v>0</v>
          </cell>
          <cell r="F95">
            <v>0</v>
          </cell>
          <cell r="G95">
            <v>0</v>
          </cell>
        </row>
        <row r="104">
          <cell r="D104">
            <v>0</v>
          </cell>
          <cell r="E104">
            <v>0</v>
          </cell>
          <cell r="F104">
            <v>0</v>
          </cell>
          <cell r="G104">
            <v>0</v>
          </cell>
        </row>
        <row r="105">
          <cell r="D105">
            <v>0</v>
          </cell>
          <cell r="E105">
            <v>0</v>
          </cell>
          <cell r="F105">
            <v>0</v>
          </cell>
          <cell r="G105">
            <v>0</v>
          </cell>
        </row>
        <row r="106">
          <cell r="D106">
            <v>0</v>
          </cell>
          <cell r="E106">
            <v>0</v>
          </cell>
          <cell r="F106">
            <v>0</v>
          </cell>
          <cell r="G106">
            <v>0</v>
          </cell>
        </row>
        <row r="108">
          <cell r="D108">
            <v>0</v>
          </cell>
          <cell r="E108">
            <v>0</v>
          </cell>
          <cell r="F108">
            <v>0</v>
          </cell>
          <cell r="G108">
            <v>0</v>
          </cell>
        </row>
        <row r="109">
          <cell r="D109">
            <v>0</v>
          </cell>
          <cell r="E109">
            <v>0</v>
          </cell>
          <cell r="F109">
            <v>0</v>
          </cell>
          <cell r="G109">
            <v>0</v>
          </cell>
        </row>
        <row r="111">
          <cell r="D111">
            <v>0</v>
          </cell>
          <cell r="E111">
            <v>0</v>
          </cell>
          <cell r="F111">
            <v>0</v>
          </cell>
          <cell r="G111">
            <v>0</v>
          </cell>
        </row>
        <row r="112">
          <cell r="D112">
            <v>0</v>
          </cell>
          <cell r="E112">
            <v>0</v>
          </cell>
          <cell r="F112">
            <v>0</v>
          </cell>
          <cell r="G112">
            <v>0</v>
          </cell>
        </row>
        <row r="117">
          <cell r="D117">
            <v>0</v>
          </cell>
          <cell r="E117">
            <v>0</v>
          </cell>
          <cell r="F117">
            <v>0</v>
          </cell>
          <cell r="G117">
            <v>0</v>
          </cell>
        </row>
        <row r="120">
          <cell r="D120">
            <v>0</v>
          </cell>
          <cell r="E120">
            <v>0</v>
          </cell>
          <cell r="F120">
            <v>0</v>
          </cell>
          <cell r="G120">
            <v>0</v>
          </cell>
        </row>
        <row r="121">
          <cell r="D121">
            <v>0</v>
          </cell>
          <cell r="E121">
            <v>0</v>
          </cell>
          <cell r="F121">
            <v>0</v>
          </cell>
          <cell r="G121">
            <v>0</v>
          </cell>
        </row>
        <row r="122">
          <cell r="D122">
            <v>0</v>
          </cell>
          <cell r="E122">
            <v>0</v>
          </cell>
          <cell r="F122">
            <v>0</v>
          </cell>
          <cell r="G122">
            <v>0</v>
          </cell>
        </row>
        <row r="123">
          <cell r="D123">
            <v>0</v>
          </cell>
          <cell r="E123">
            <v>0</v>
          </cell>
          <cell r="F123">
            <v>0</v>
          </cell>
          <cell r="G123">
            <v>0</v>
          </cell>
        </row>
        <row r="125">
          <cell r="D125">
            <v>0</v>
          </cell>
          <cell r="E125">
            <v>0</v>
          </cell>
          <cell r="F125">
            <v>0</v>
          </cell>
          <cell r="G125">
            <v>0</v>
          </cell>
        </row>
        <row r="126">
          <cell r="D126">
            <v>0</v>
          </cell>
          <cell r="E126">
            <v>0</v>
          </cell>
          <cell r="F126">
            <v>0</v>
          </cell>
          <cell r="G126">
            <v>0</v>
          </cell>
        </row>
        <row r="143">
          <cell r="E143">
            <v>0</v>
          </cell>
          <cell r="F143">
            <v>0</v>
          </cell>
          <cell r="G143">
            <v>0</v>
          </cell>
        </row>
        <row r="144">
          <cell r="E144">
            <v>0</v>
          </cell>
          <cell r="F144">
            <v>0</v>
          </cell>
          <cell r="G144">
            <v>0</v>
          </cell>
        </row>
        <row r="145">
          <cell r="E145">
            <v>0</v>
          </cell>
          <cell r="F145">
            <v>0</v>
          </cell>
          <cell r="G145">
            <v>0</v>
          </cell>
        </row>
        <row r="147">
          <cell r="E147">
            <v>0</v>
          </cell>
          <cell r="F147">
            <v>0</v>
          </cell>
          <cell r="G147">
            <v>0</v>
          </cell>
        </row>
        <row r="148">
          <cell r="E148">
            <v>0</v>
          </cell>
          <cell r="F148">
            <v>0</v>
          </cell>
          <cell r="G148">
            <v>0</v>
          </cell>
        </row>
        <row r="150">
          <cell r="E150">
            <v>0</v>
          </cell>
          <cell r="F150">
            <v>0</v>
          </cell>
          <cell r="G150">
            <v>0</v>
          </cell>
        </row>
        <row r="151">
          <cell r="E151">
            <v>0</v>
          </cell>
          <cell r="F151">
            <v>0</v>
          </cell>
          <cell r="G151">
            <v>0</v>
          </cell>
        </row>
        <row r="156">
          <cell r="E156">
            <v>0</v>
          </cell>
          <cell r="F156">
            <v>0</v>
          </cell>
          <cell r="G156">
            <v>0</v>
          </cell>
        </row>
        <row r="157">
          <cell r="E157">
            <v>0</v>
          </cell>
          <cell r="F157">
            <v>0</v>
          </cell>
          <cell r="G157">
            <v>0</v>
          </cell>
        </row>
        <row r="158">
          <cell r="E158">
            <v>0</v>
          </cell>
          <cell r="F158">
            <v>0</v>
          </cell>
          <cell r="G158">
            <v>0</v>
          </cell>
        </row>
        <row r="161">
          <cell r="E161">
            <v>0</v>
          </cell>
          <cell r="F161">
            <v>0</v>
          </cell>
          <cell r="G161">
            <v>0</v>
          </cell>
        </row>
        <row r="162">
          <cell r="E162">
            <v>0</v>
          </cell>
          <cell r="F162">
            <v>0</v>
          </cell>
          <cell r="G162">
            <v>0</v>
          </cell>
        </row>
        <row r="163">
          <cell r="E163">
            <v>0</v>
          </cell>
          <cell r="F163">
            <v>0</v>
          </cell>
          <cell r="G163">
            <v>0</v>
          </cell>
        </row>
        <row r="164">
          <cell r="E164">
            <v>0</v>
          </cell>
          <cell r="F164">
            <v>0</v>
          </cell>
          <cell r="G164">
            <v>0</v>
          </cell>
        </row>
        <row r="166">
          <cell r="E166">
            <v>0</v>
          </cell>
          <cell r="F166">
            <v>0</v>
          </cell>
          <cell r="G166">
            <v>0</v>
          </cell>
        </row>
        <row r="167">
          <cell r="E167">
            <v>0</v>
          </cell>
          <cell r="F167">
            <v>0</v>
          </cell>
          <cell r="G167">
            <v>0</v>
          </cell>
        </row>
      </sheetData>
      <sheetData sheetId="21"/>
      <sheetData sheetId="22"/>
      <sheetData sheetId="23">
        <row r="7">
          <cell r="N7">
            <v>0</v>
          </cell>
          <cell r="O7">
            <v>0</v>
          </cell>
          <cell r="P7">
            <v>0</v>
          </cell>
          <cell r="R7">
            <v>0</v>
          </cell>
          <cell r="S7">
            <v>0</v>
          </cell>
          <cell r="T7">
            <v>0</v>
          </cell>
        </row>
        <row r="8">
          <cell r="N8">
            <v>0</v>
          </cell>
          <cell r="O8">
            <v>0</v>
          </cell>
          <cell r="P8">
            <v>0</v>
          </cell>
          <cell r="R8">
            <v>0</v>
          </cell>
          <cell r="S8">
            <v>0</v>
          </cell>
          <cell r="T8">
            <v>0</v>
          </cell>
        </row>
        <row r="10">
          <cell r="N10">
            <v>0</v>
          </cell>
          <cell r="O10">
            <v>0</v>
          </cell>
          <cell r="P10">
            <v>0</v>
          </cell>
          <cell r="R10">
            <v>0</v>
          </cell>
          <cell r="S10">
            <v>0</v>
          </cell>
          <cell r="T10">
            <v>0</v>
          </cell>
        </row>
        <row r="14">
          <cell r="N14">
            <v>0</v>
          </cell>
          <cell r="O14">
            <v>0</v>
          </cell>
          <cell r="P14">
            <v>0</v>
          </cell>
          <cell r="R14">
            <v>0</v>
          </cell>
          <cell r="S14">
            <v>0</v>
          </cell>
          <cell r="T14">
            <v>0</v>
          </cell>
        </row>
        <row r="15">
          <cell r="N15">
            <v>0</v>
          </cell>
          <cell r="O15">
            <v>0</v>
          </cell>
          <cell r="P15">
            <v>0</v>
          </cell>
          <cell r="R15">
            <v>0</v>
          </cell>
          <cell r="S15">
            <v>0</v>
          </cell>
          <cell r="T15">
            <v>0</v>
          </cell>
        </row>
        <row r="67">
          <cell r="H67">
            <v>0</v>
          </cell>
        </row>
      </sheetData>
      <sheetData sheetId="24"/>
      <sheetData sheetId="25"/>
      <sheetData sheetId="2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B0131-4ADA-4074-8242-560272F3E01A}">
  <sheetPr codeName="Sheet2">
    <tabColor theme="3" tint="0.79998168889431442"/>
  </sheetPr>
  <dimension ref="A1:S153"/>
  <sheetViews>
    <sheetView showGridLines="0" tabSelected="1" zoomScale="55" zoomScaleNormal="55" workbookViewId="0">
      <selection activeCell="B10" sqref="B10"/>
    </sheetView>
  </sheetViews>
  <sheetFormatPr defaultColWidth="0" defaultRowHeight="14" zeroHeight="1" x14ac:dyDescent="0.35"/>
  <cols>
    <col min="1" max="1" width="1.453125" style="12" customWidth="1"/>
    <col min="2" max="2" width="36.453125" style="32" bestFit="1" customWidth="1"/>
    <col min="3" max="3" width="6.453125" style="32" bestFit="1" customWidth="1"/>
    <col min="4" max="4" width="20.453125" style="129" customWidth="1"/>
    <col min="5" max="5" width="14.453125" style="129" bestFit="1" customWidth="1"/>
    <col min="6" max="6" width="20.54296875" style="129" customWidth="1"/>
    <col min="7" max="7" width="21.54296875" style="154" bestFit="1" customWidth="1"/>
    <col min="8" max="8" width="8.453125" style="129" bestFit="1" customWidth="1"/>
    <col min="9" max="9" width="18.6328125" style="129" bestFit="1" customWidth="1"/>
    <col min="10" max="10" width="18.453125" style="129" customWidth="1"/>
    <col min="11" max="11" width="8.54296875" style="132" bestFit="1" customWidth="1"/>
    <col min="12" max="12" width="9.453125" style="12" bestFit="1" customWidth="1"/>
    <col min="13" max="13" width="17.6328125" style="134" bestFit="1" customWidth="1"/>
    <col min="14" max="14" width="16.26953125" style="134" customWidth="1"/>
    <col min="15" max="15" width="2.54296875" style="134" customWidth="1"/>
    <col min="16" max="16" width="18.54296875" style="135" bestFit="1" customWidth="1"/>
    <col min="17" max="17" width="21.453125" style="135" bestFit="1" customWidth="1"/>
    <col min="18" max="18" width="7.453125" style="12" customWidth="1"/>
    <col min="19" max="19" width="0" style="12" hidden="1" customWidth="1"/>
    <col min="20" max="16384" width="9.453125" style="12" hidden="1"/>
  </cols>
  <sheetData>
    <row r="1" spans="2:18" x14ac:dyDescent="0.35">
      <c r="B1" s="1" t="s">
        <v>0</v>
      </c>
      <c r="C1" s="1"/>
      <c r="D1" s="2"/>
      <c r="E1" s="2"/>
      <c r="F1" s="3"/>
      <c r="G1" s="4"/>
      <c r="H1" s="5"/>
      <c r="I1" s="5"/>
      <c r="J1" s="6"/>
      <c r="K1" s="7"/>
      <c r="L1" s="8"/>
      <c r="M1" s="9"/>
      <c r="N1" s="9"/>
      <c r="O1" s="9"/>
      <c r="P1" s="10"/>
      <c r="Q1" s="10"/>
      <c r="R1" s="11"/>
    </row>
    <row r="2" spans="2:18" x14ac:dyDescent="0.35">
      <c r="B2" s="13"/>
      <c r="C2" s="14"/>
      <c r="D2" s="6"/>
      <c r="E2" s="6"/>
      <c r="F2" s="15"/>
      <c r="G2" s="16" t="s">
        <v>1</v>
      </c>
      <c r="H2" s="17"/>
      <c r="I2" s="17"/>
      <c r="J2" s="6"/>
      <c r="K2" s="18" t="str">
        <f>"Unit: "&amp;[1]Info!$B$34</f>
        <v>Unit: VND</v>
      </c>
      <c r="L2" s="8"/>
      <c r="M2" s="19"/>
      <c r="N2" s="20"/>
      <c r="O2" s="20"/>
      <c r="P2" s="21"/>
      <c r="Q2" s="22"/>
      <c r="R2" s="11"/>
    </row>
    <row r="3" spans="2:18" s="32" customFormat="1" ht="28.5" customHeight="1" x14ac:dyDescent="0.35">
      <c r="B3" s="23" t="s">
        <v>2</v>
      </c>
      <c r="C3" s="23" t="s">
        <v>3</v>
      </c>
      <c r="D3" s="24" t="s">
        <v>4</v>
      </c>
      <c r="E3" s="24" t="s">
        <v>5</v>
      </c>
      <c r="F3" s="24" t="s">
        <v>6</v>
      </c>
      <c r="G3" s="25" t="s">
        <v>7</v>
      </c>
      <c r="H3" s="24" t="s">
        <v>8</v>
      </c>
      <c r="I3" s="26" t="s">
        <v>9</v>
      </c>
      <c r="J3" s="27" t="s">
        <v>10</v>
      </c>
      <c r="K3" s="28"/>
      <c r="L3" s="29" t="s">
        <v>11</v>
      </c>
      <c r="M3" s="30" t="s">
        <v>12</v>
      </c>
      <c r="N3" s="30" t="s">
        <v>13</v>
      </c>
      <c r="O3" s="31"/>
      <c r="P3" s="30" t="s">
        <v>14</v>
      </c>
      <c r="Q3" s="30" t="s">
        <v>15</v>
      </c>
    </row>
    <row r="4" spans="2:18" s="32" customFormat="1" ht="12.65" customHeight="1" x14ac:dyDescent="0.35">
      <c r="B4" s="23"/>
      <c r="C4" s="23"/>
      <c r="D4" s="24"/>
      <c r="E4" s="24"/>
      <c r="F4" s="24"/>
      <c r="G4" s="25"/>
      <c r="H4" s="24"/>
      <c r="I4" s="33"/>
      <c r="J4" s="34" t="s">
        <v>16</v>
      </c>
      <c r="K4" s="35" t="s">
        <v>17</v>
      </c>
      <c r="L4" s="29" t="s">
        <v>18</v>
      </c>
      <c r="M4" s="30"/>
      <c r="N4" s="30" t="s">
        <v>19</v>
      </c>
      <c r="O4" s="31"/>
      <c r="P4" s="30"/>
      <c r="Q4" s="30" t="s">
        <v>19</v>
      </c>
    </row>
    <row r="5" spans="2:18" x14ac:dyDescent="0.35">
      <c r="B5" s="36"/>
      <c r="C5" s="37"/>
      <c r="D5" s="38"/>
      <c r="E5" s="38"/>
      <c r="F5" s="39"/>
      <c r="G5" s="40"/>
      <c r="H5" s="39"/>
      <c r="I5" s="39"/>
      <c r="J5" s="39"/>
      <c r="K5" s="41"/>
      <c r="L5" s="42" t="s">
        <v>20</v>
      </c>
      <c r="M5" s="43"/>
      <c r="N5" s="44">
        <v>0</v>
      </c>
      <c r="O5" s="45"/>
      <c r="P5" s="46"/>
      <c r="Q5" s="47">
        <f>SUBTOTAL(9,Q8:Q145)/2</f>
        <v>0</v>
      </c>
    </row>
    <row r="6" spans="2:18" x14ac:dyDescent="0.35">
      <c r="B6" s="48" t="s">
        <v>21</v>
      </c>
      <c r="C6" s="37"/>
      <c r="D6" s="49"/>
      <c r="E6" s="49"/>
      <c r="F6" s="50"/>
      <c r="G6" s="40"/>
      <c r="H6" s="50"/>
      <c r="I6" s="50"/>
      <c r="J6" s="50"/>
      <c r="K6" s="41"/>
      <c r="L6" s="8" t="s">
        <v>20</v>
      </c>
      <c r="M6" s="51"/>
      <c r="N6" s="52"/>
      <c r="O6" s="53"/>
      <c r="P6" s="54"/>
      <c r="Q6" s="55"/>
    </row>
    <row r="7" spans="2:18" x14ac:dyDescent="0.35">
      <c r="B7" s="56"/>
      <c r="C7" s="57"/>
      <c r="D7" s="58"/>
      <c r="E7" s="58"/>
      <c r="F7" s="50"/>
      <c r="G7" s="40"/>
      <c r="H7" s="50"/>
      <c r="I7" s="50"/>
      <c r="J7" s="50"/>
      <c r="K7" s="41"/>
      <c r="L7" s="8" t="s">
        <v>20</v>
      </c>
      <c r="M7" s="59"/>
      <c r="N7" s="60"/>
      <c r="O7" s="61"/>
      <c r="P7" s="54"/>
      <c r="Q7" s="62"/>
      <c r="R7" s="11"/>
    </row>
    <row r="8" spans="2:18" x14ac:dyDescent="0.35">
      <c r="B8" s="63" t="s">
        <v>22</v>
      </c>
      <c r="C8" s="57">
        <v>100</v>
      </c>
      <c r="D8" s="64">
        <v>7739775378</v>
      </c>
      <c r="E8" s="64">
        <v>0</v>
      </c>
      <c r="F8" s="64">
        <v>7739775378</v>
      </c>
      <c r="G8" s="65">
        <v>8458566071</v>
      </c>
      <c r="H8" s="64">
        <v>0</v>
      </c>
      <c r="I8" s="64">
        <v>8458566071</v>
      </c>
      <c r="J8" s="64">
        <f t="shared" ref="E8:J8" si="0">J10+J14+J19+J29+J33</f>
        <v>-718790693</v>
      </c>
      <c r="K8" s="66">
        <f>IF(I8=0,"NA",J8/I8)</f>
        <v>-8.4977842221314256E-2</v>
      </c>
      <c r="L8" s="8" t="str">
        <f>IF(AND(D8=0,E8=0,F8=0,I8=0,G8=0),"Hide","Stay")</f>
        <v>Stay</v>
      </c>
      <c r="M8" s="67">
        <v>8458566071</v>
      </c>
      <c r="N8" s="68">
        <v>0</v>
      </c>
      <c r="O8" s="69"/>
      <c r="P8" s="70">
        <v>7739775378</v>
      </c>
      <c r="Q8" s="47">
        <f>D8-P8</f>
        <v>0</v>
      </c>
      <c r="R8" s="11"/>
    </row>
    <row r="9" spans="2:18" x14ac:dyDescent="0.35">
      <c r="B9" s="63"/>
      <c r="C9" s="57"/>
      <c r="D9" s="64"/>
      <c r="E9" s="64"/>
      <c r="F9" s="71"/>
      <c r="G9" s="72"/>
      <c r="H9" s="71"/>
      <c r="I9" s="71"/>
      <c r="J9" s="71"/>
      <c r="K9" s="73"/>
      <c r="L9" s="8" t="s">
        <v>20</v>
      </c>
      <c r="M9" s="67"/>
      <c r="N9" s="68"/>
      <c r="O9" s="69"/>
      <c r="P9" s="70"/>
      <c r="Q9" s="47"/>
      <c r="R9" s="11"/>
    </row>
    <row r="10" spans="2:18" x14ac:dyDescent="0.35">
      <c r="B10" s="74" t="s">
        <v>23</v>
      </c>
      <c r="C10" s="75">
        <v>110</v>
      </c>
      <c r="D10" s="76">
        <v>6085663659</v>
      </c>
      <c r="E10" s="76">
        <v>0</v>
      </c>
      <c r="F10" s="76">
        <v>6085663659</v>
      </c>
      <c r="G10" s="77">
        <v>6270753793</v>
      </c>
      <c r="H10" s="76">
        <v>0</v>
      </c>
      <c r="I10" s="76">
        <v>6270753793</v>
      </c>
      <c r="J10" s="76">
        <f t="shared" ref="D10:J10" si="1">J11+J12</f>
        <v>-185090134</v>
      </c>
      <c r="K10" s="78">
        <f t="shared" ref="K10:K38" si="2">IF(I10=0,"NA",J10/I10)</f>
        <v>-2.9516409049038867E-2</v>
      </c>
      <c r="L10" s="79" t="s">
        <v>20</v>
      </c>
      <c r="M10" s="80">
        <v>6270753793</v>
      </c>
      <c r="N10" s="81">
        <v>0</v>
      </c>
      <c r="O10" s="82"/>
      <c r="P10" s="83">
        <v>6085663659</v>
      </c>
      <c r="Q10" s="47">
        <f t="shared" ref="Q10:Q73" si="3">D10-P10</f>
        <v>0</v>
      </c>
      <c r="R10" s="84"/>
    </row>
    <row r="11" spans="2:18" x14ac:dyDescent="0.35">
      <c r="B11" s="85" t="s">
        <v>24</v>
      </c>
      <c r="C11" s="37">
        <v>111</v>
      </c>
      <c r="D11" s="39">
        <v>6085663659</v>
      </c>
      <c r="E11" s="39">
        <v>0</v>
      </c>
      <c r="F11" s="39">
        <v>6085663659</v>
      </c>
      <c r="G11" s="86">
        <v>6270753793</v>
      </c>
      <c r="H11" s="39">
        <v>0</v>
      </c>
      <c r="I11" s="39">
        <v>6270753793</v>
      </c>
      <c r="J11" s="39">
        <f>F11-I11</f>
        <v>-185090134</v>
      </c>
      <c r="K11" s="66">
        <f t="shared" si="2"/>
        <v>-2.9516409049038867E-2</v>
      </c>
      <c r="L11" s="8" t="str">
        <f>IF(AND(D11=0,E11=0,F11=0,I11=0,G11=0),"Hide","Stay")</f>
        <v>Stay</v>
      </c>
      <c r="M11" s="39">
        <v>6270753793</v>
      </c>
      <c r="N11" s="52">
        <v>0</v>
      </c>
      <c r="O11" s="53"/>
      <c r="P11" s="87">
        <v>6085663659</v>
      </c>
      <c r="Q11" s="47">
        <f t="shared" si="3"/>
        <v>0</v>
      </c>
      <c r="R11" s="11"/>
    </row>
    <row r="12" spans="2:18" x14ac:dyDescent="0.35">
      <c r="B12" s="85" t="s">
        <v>25</v>
      </c>
      <c r="C12" s="37">
        <v>112</v>
      </c>
      <c r="D12" s="39">
        <v>0</v>
      </c>
      <c r="E12" s="39">
        <v>0</v>
      </c>
      <c r="F12" s="39">
        <v>0</v>
      </c>
      <c r="G12" s="86">
        <v>0</v>
      </c>
      <c r="H12" s="39">
        <v>0</v>
      </c>
      <c r="I12" s="39">
        <v>0</v>
      </c>
      <c r="J12" s="39">
        <f>F12-I12</f>
        <v>0</v>
      </c>
      <c r="K12" s="66" t="str">
        <f t="shared" si="2"/>
        <v>NA</v>
      </c>
      <c r="L12" s="8" t="str">
        <f>IF(AND(D12=0,E12=0,F12=0,I12=0,G12=0),"Hide","Stay")</f>
        <v>Hide</v>
      </c>
      <c r="M12" s="39">
        <v>0</v>
      </c>
      <c r="N12" s="52">
        <v>0</v>
      </c>
      <c r="O12" s="53"/>
      <c r="P12" s="87">
        <v>0</v>
      </c>
      <c r="Q12" s="47">
        <f>D12-P12</f>
        <v>0</v>
      </c>
      <c r="R12" s="11"/>
    </row>
    <row r="13" spans="2:18" x14ac:dyDescent="0.35">
      <c r="B13" s="88"/>
      <c r="C13" s="37"/>
      <c r="D13" s="38"/>
      <c r="E13" s="38"/>
      <c r="F13" s="38"/>
      <c r="G13" s="89"/>
      <c r="H13" s="38"/>
      <c r="I13" s="38"/>
      <c r="J13" s="39"/>
      <c r="K13" s="66"/>
      <c r="L13" s="8"/>
      <c r="M13" s="51"/>
      <c r="N13" s="90"/>
      <c r="O13" s="53"/>
      <c r="P13" s="54"/>
      <c r="Q13" s="47"/>
      <c r="R13" s="11"/>
    </row>
    <row r="14" spans="2:18" x14ac:dyDescent="0.35">
      <c r="B14" s="74" t="s">
        <v>26</v>
      </c>
      <c r="C14" s="75">
        <v>120</v>
      </c>
      <c r="D14" s="76">
        <v>0</v>
      </c>
      <c r="E14" s="76">
        <v>0</v>
      </c>
      <c r="F14" s="76">
        <v>0</v>
      </c>
      <c r="G14" s="77">
        <v>0</v>
      </c>
      <c r="H14" s="76">
        <v>0</v>
      </c>
      <c r="I14" s="76">
        <v>0</v>
      </c>
      <c r="J14" s="76">
        <f t="shared" ref="E14:J14" si="4">SUM(J15:J17)</f>
        <v>0</v>
      </c>
      <c r="K14" s="78" t="str">
        <f t="shared" si="2"/>
        <v>NA</v>
      </c>
      <c r="L14" s="79" t="s">
        <v>20</v>
      </c>
      <c r="M14" s="80">
        <v>0</v>
      </c>
      <c r="N14" s="81">
        <v>0</v>
      </c>
      <c r="O14" s="82"/>
      <c r="P14" s="91">
        <v>0</v>
      </c>
      <c r="Q14" s="47">
        <f t="shared" si="3"/>
        <v>0</v>
      </c>
      <c r="R14" s="84"/>
    </row>
    <row r="15" spans="2:18" x14ac:dyDescent="0.35">
      <c r="B15" s="85" t="s">
        <v>27</v>
      </c>
      <c r="C15" s="37">
        <v>121</v>
      </c>
      <c r="D15" s="39">
        <v>0</v>
      </c>
      <c r="E15" s="39">
        <v>0</v>
      </c>
      <c r="F15" s="39">
        <v>0</v>
      </c>
      <c r="G15" s="92">
        <v>0</v>
      </c>
      <c r="H15" s="39">
        <v>0</v>
      </c>
      <c r="I15" s="39">
        <v>0</v>
      </c>
      <c r="J15" s="39">
        <f>F15-I15</f>
        <v>0</v>
      </c>
      <c r="K15" s="66" t="str">
        <f t="shared" si="2"/>
        <v>NA</v>
      </c>
      <c r="L15" s="8" t="str">
        <f>IF(AND(D15=0,E15=0,F15=0,I15=0,G15=0),"Hide","Stay")</f>
        <v>Hide</v>
      </c>
      <c r="M15" s="39">
        <v>0</v>
      </c>
      <c r="N15" s="52">
        <v>0</v>
      </c>
      <c r="O15" s="53"/>
      <c r="P15" s="87">
        <v>0</v>
      </c>
      <c r="Q15" s="47">
        <f t="shared" si="3"/>
        <v>0</v>
      </c>
      <c r="R15" s="11"/>
    </row>
    <row r="16" spans="2:18" x14ac:dyDescent="0.35">
      <c r="B16" s="85" t="s">
        <v>28</v>
      </c>
      <c r="C16" s="37">
        <v>122</v>
      </c>
      <c r="D16" s="39">
        <v>0</v>
      </c>
      <c r="E16" s="39">
        <v>0</v>
      </c>
      <c r="F16" s="39">
        <v>0</v>
      </c>
      <c r="G16" s="92">
        <v>0</v>
      </c>
      <c r="H16" s="39">
        <v>0</v>
      </c>
      <c r="I16" s="39">
        <v>0</v>
      </c>
      <c r="J16" s="39">
        <f>F16-I16</f>
        <v>0</v>
      </c>
      <c r="K16" s="66" t="str">
        <f t="shared" si="2"/>
        <v>NA</v>
      </c>
      <c r="L16" s="8" t="str">
        <f>IF(AND(D16=0,E16=0,F16=0,I16=0,G16=0),"Hide","Stay")</f>
        <v>Hide</v>
      </c>
      <c r="M16" s="39">
        <v>0</v>
      </c>
      <c r="N16" s="52">
        <v>0</v>
      </c>
      <c r="O16" s="53"/>
      <c r="P16" s="87">
        <v>0</v>
      </c>
      <c r="Q16" s="47">
        <f t="shared" si="3"/>
        <v>0</v>
      </c>
      <c r="R16" s="11"/>
    </row>
    <row r="17" spans="2:18" x14ac:dyDescent="0.35">
      <c r="B17" s="85" t="s">
        <v>29</v>
      </c>
      <c r="C17" s="37">
        <v>123</v>
      </c>
      <c r="D17" s="39">
        <v>0</v>
      </c>
      <c r="E17" s="39">
        <v>0</v>
      </c>
      <c r="F17" s="39">
        <v>0</v>
      </c>
      <c r="G17" s="92">
        <v>0</v>
      </c>
      <c r="H17" s="39">
        <v>0</v>
      </c>
      <c r="I17" s="39">
        <v>0</v>
      </c>
      <c r="J17" s="39">
        <f>F17-I17</f>
        <v>0</v>
      </c>
      <c r="K17" s="66" t="str">
        <f t="shared" si="2"/>
        <v>NA</v>
      </c>
      <c r="L17" s="8" t="str">
        <f>IF(AND(D17=0,E17=0,F17=0,I17=0,G17=0),"Hide","Stay")</f>
        <v>Hide</v>
      </c>
      <c r="M17" s="39">
        <v>0</v>
      </c>
      <c r="N17" s="52">
        <v>0</v>
      </c>
      <c r="O17" s="53"/>
      <c r="P17" s="87">
        <v>0</v>
      </c>
      <c r="Q17" s="47">
        <f t="shared" si="3"/>
        <v>0</v>
      </c>
      <c r="R17" s="11"/>
    </row>
    <row r="18" spans="2:18" x14ac:dyDescent="0.35">
      <c r="B18" s="88"/>
      <c r="C18" s="37"/>
      <c r="D18" s="38"/>
      <c r="E18" s="38"/>
      <c r="F18" s="38"/>
      <c r="G18" s="89"/>
      <c r="H18" s="38"/>
      <c r="I18" s="38"/>
      <c r="J18" s="39"/>
      <c r="K18" s="66"/>
      <c r="L18" s="8"/>
      <c r="M18" s="51"/>
      <c r="N18" s="90"/>
      <c r="O18" s="53"/>
      <c r="P18" s="54"/>
      <c r="Q18" s="47"/>
      <c r="R18" s="11"/>
    </row>
    <row r="19" spans="2:18" x14ac:dyDescent="0.35">
      <c r="B19" s="74" t="s">
        <v>30</v>
      </c>
      <c r="C19" s="75">
        <v>130</v>
      </c>
      <c r="D19" s="76">
        <v>968348260</v>
      </c>
      <c r="E19" s="76">
        <v>0</v>
      </c>
      <c r="F19" s="76">
        <v>968348260</v>
      </c>
      <c r="G19" s="77">
        <v>1610487157</v>
      </c>
      <c r="H19" s="76">
        <v>0</v>
      </c>
      <c r="I19" s="76">
        <v>1610487157</v>
      </c>
      <c r="J19" s="76">
        <f t="shared" ref="D19:J19" si="5">SUM(J20:J27)</f>
        <v>-642138897</v>
      </c>
      <c r="K19" s="78">
        <f t="shared" si="2"/>
        <v>-0.39872338888822323</v>
      </c>
      <c r="L19" s="79" t="s">
        <v>20</v>
      </c>
      <c r="M19" s="80">
        <v>1610487157</v>
      </c>
      <c r="N19" s="81">
        <v>0</v>
      </c>
      <c r="O19" s="82"/>
      <c r="P19" s="83">
        <v>968348260</v>
      </c>
      <c r="Q19" s="47">
        <f t="shared" si="3"/>
        <v>0</v>
      </c>
      <c r="R19" s="84"/>
    </row>
    <row r="20" spans="2:18" x14ac:dyDescent="0.35">
      <c r="B20" s="85" t="s">
        <v>31</v>
      </c>
      <c r="C20" s="37">
        <v>131</v>
      </c>
      <c r="D20" s="39">
        <v>553057697</v>
      </c>
      <c r="E20" s="39">
        <v>0</v>
      </c>
      <c r="F20" s="39">
        <v>553057697</v>
      </c>
      <c r="G20" s="86">
        <v>787548208</v>
      </c>
      <c r="H20" s="39">
        <v>0</v>
      </c>
      <c r="I20" s="39">
        <v>787548208</v>
      </c>
      <c r="J20" s="39">
        <f t="shared" ref="J20:J27" si="6">F20-I20</f>
        <v>-234490511</v>
      </c>
      <c r="K20" s="66">
        <f t="shared" si="2"/>
        <v>-0.29774750119169846</v>
      </c>
      <c r="L20" s="8" t="str">
        <f t="shared" ref="L20:L27" si="7">IF(AND(D20=0,E20=0,F20=0,I20=0,G20=0),"Hide","Stay")</f>
        <v>Stay</v>
      </c>
      <c r="M20" s="39">
        <v>787548208</v>
      </c>
      <c r="N20" s="52">
        <v>0</v>
      </c>
      <c r="O20" s="53"/>
      <c r="P20" s="87">
        <v>553057697</v>
      </c>
      <c r="Q20" s="47">
        <f t="shared" si="3"/>
        <v>0</v>
      </c>
    </row>
    <row r="21" spans="2:18" x14ac:dyDescent="0.35">
      <c r="B21" s="85" t="s">
        <v>32</v>
      </c>
      <c r="C21" s="37">
        <v>132</v>
      </c>
      <c r="D21" s="39">
        <v>19084163</v>
      </c>
      <c r="E21" s="39">
        <v>0</v>
      </c>
      <c r="F21" s="39">
        <v>19084163</v>
      </c>
      <c r="G21" s="86">
        <v>19175523</v>
      </c>
      <c r="H21" s="39">
        <v>0</v>
      </c>
      <c r="I21" s="39">
        <v>19175523</v>
      </c>
      <c r="J21" s="39">
        <f t="shared" si="6"/>
        <v>-91360</v>
      </c>
      <c r="K21" s="66">
        <f t="shared" si="2"/>
        <v>-4.7644072080850154E-3</v>
      </c>
      <c r="L21" s="8" t="str">
        <f t="shared" si="7"/>
        <v>Stay</v>
      </c>
      <c r="M21" s="39">
        <v>19175523</v>
      </c>
      <c r="N21" s="52">
        <v>0</v>
      </c>
      <c r="O21" s="53"/>
      <c r="P21" s="87">
        <v>19084163</v>
      </c>
      <c r="Q21" s="47">
        <f t="shared" si="3"/>
        <v>0</v>
      </c>
      <c r="R21" s="11"/>
    </row>
    <row r="22" spans="2:18" x14ac:dyDescent="0.35">
      <c r="B22" s="85" t="s">
        <v>33</v>
      </c>
      <c r="C22" s="37">
        <v>133</v>
      </c>
      <c r="D22" s="39">
        <v>0</v>
      </c>
      <c r="E22" s="39">
        <v>0</v>
      </c>
      <c r="F22" s="39">
        <v>0</v>
      </c>
      <c r="G22" s="92">
        <v>0</v>
      </c>
      <c r="H22" s="39">
        <v>0</v>
      </c>
      <c r="I22" s="39">
        <v>0</v>
      </c>
      <c r="J22" s="39">
        <f t="shared" si="6"/>
        <v>0</v>
      </c>
      <c r="K22" s="66" t="str">
        <f t="shared" si="2"/>
        <v>NA</v>
      </c>
      <c r="L22" s="8" t="str">
        <f t="shared" si="7"/>
        <v>Hide</v>
      </c>
      <c r="M22" s="39">
        <v>0</v>
      </c>
      <c r="N22" s="52">
        <v>0</v>
      </c>
      <c r="O22" s="53"/>
      <c r="P22" s="87">
        <v>0</v>
      </c>
      <c r="Q22" s="47">
        <f t="shared" si="3"/>
        <v>0</v>
      </c>
      <c r="R22" s="11"/>
    </row>
    <row r="23" spans="2:18" ht="24" x14ac:dyDescent="0.35">
      <c r="B23" s="93" t="s">
        <v>34</v>
      </c>
      <c r="C23" s="37">
        <v>134</v>
      </c>
      <c r="D23" s="39">
        <v>0</v>
      </c>
      <c r="E23" s="39">
        <v>0</v>
      </c>
      <c r="F23" s="39">
        <v>0</v>
      </c>
      <c r="G23" s="92">
        <v>0</v>
      </c>
      <c r="H23" s="39">
        <v>0</v>
      </c>
      <c r="I23" s="39">
        <v>0</v>
      </c>
      <c r="J23" s="39">
        <f t="shared" si="6"/>
        <v>0</v>
      </c>
      <c r="K23" s="66" t="str">
        <f t="shared" si="2"/>
        <v>NA</v>
      </c>
      <c r="L23" s="8" t="str">
        <f t="shared" si="7"/>
        <v>Hide</v>
      </c>
      <c r="M23" s="39">
        <v>0</v>
      </c>
      <c r="N23" s="52">
        <v>0</v>
      </c>
      <c r="O23" s="53"/>
      <c r="P23" s="87">
        <v>0</v>
      </c>
      <c r="Q23" s="47">
        <f t="shared" si="3"/>
        <v>0</v>
      </c>
      <c r="R23" s="11"/>
    </row>
    <row r="24" spans="2:18" x14ac:dyDescent="0.35">
      <c r="B24" s="85" t="s">
        <v>35</v>
      </c>
      <c r="C24" s="37">
        <v>135</v>
      </c>
      <c r="D24" s="39">
        <v>0</v>
      </c>
      <c r="E24" s="39">
        <v>0</v>
      </c>
      <c r="F24" s="39">
        <v>0</v>
      </c>
      <c r="G24" s="92">
        <v>0</v>
      </c>
      <c r="H24" s="39">
        <v>0</v>
      </c>
      <c r="I24" s="39">
        <v>0</v>
      </c>
      <c r="J24" s="39">
        <f t="shared" si="6"/>
        <v>0</v>
      </c>
      <c r="K24" s="66" t="str">
        <f t="shared" si="2"/>
        <v>NA</v>
      </c>
      <c r="L24" s="8" t="str">
        <f t="shared" si="7"/>
        <v>Hide</v>
      </c>
      <c r="M24" s="39">
        <v>0</v>
      </c>
      <c r="N24" s="52">
        <v>0</v>
      </c>
      <c r="O24" s="53"/>
      <c r="P24" s="87">
        <v>0</v>
      </c>
      <c r="Q24" s="47">
        <f t="shared" si="3"/>
        <v>0</v>
      </c>
      <c r="R24" s="11"/>
    </row>
    <row r="25" spans="2:18" x14ac:dyDescent="0.35">
      <c r="B25" s="85" t="s">
        <v>36</v>
      </c>
      <c r="C25" s="37">
        <v>136</v>
      </c>
      <c r="D25" s="39">
        <v>396206400</v>
      </c>
      <c r="E25" s="39">
        <v>0</v>
      </c>
      <c r="F25" s="39">
        <v>396206400</v>
      </c>
      <c r="G25" s="92">
        <v>803763426</v>
      </c>
      <c r="H25" s="39">
        <v>0</v>
      </c>
      <c r="I25" s="39">
        <v>803763426</v>
      </c>
      <c r="J25" s="39">
        <f t="shared" si="6"/>
        <v>-407557026</v>
      </c>
      <c r="K25" s="66">
        <f t="shared" si="2"/>
        <v>-0.50706092466566155</v>
      </c>
      <c r="L25" s="8" t="str">
        <f t="shared" si="7"/>
        <v>Stay</v>
      </c>
      <c r="M25" s="39">
        <v>803763426</v>
      </c>
      <c r="N25" s="52">
        <v>0</v>
      </c>
      <c r="O25" s="53"/>
      <c r="P25" s="87">
        <v>396206400</v>
      </c>
      <c r="Q25" s="47">
        <f t="shared" si="3"/>
        <v>0</v>
      </c>
      <c r="R25" s="94"/>
    </row>
    <row r="26" spans="2:18" x14ac:dyDescent="0.35">
      <c r="B26" s="85" t="s">
        <v>37</v>
      </c>
      <c r="C26" s="37">
        <v>137</v>
      </c>
      <c r="D26" s="39">
        <v>0</v>
      </c>
      <c r="E26" s="39">
        <v>0</v>
      </c>
      <c r="F26" s="39">
        <v>0</v>
      </c>
      <c r="G26" s="92">
        <v>0</v>
      </c>
      <c r="H26" s="39">
        <v>0</v>
      </c>
      <c r="I26" s="39">
        <v>0</v>
      </c>
      <c r="J26" s="39">
        <f t="shared" si="6"/>
        <v>0</v>
      </c>
      <c r="K26" s="66" t="str">
        <f t="shared" si="2"/>
        <v>NA</v>
      </c>
      <c r="L26" s="8" t="str">
        <f t="shared" si="7"/>
        <v>Hide</v>
      </c>
      <c r="M26" s="39">
        <v>0</v>
      </c>
      <c r="N26" s="52">
        <v>0</v>
      </c>
      <c r="O26" s="53"/>
      <c r="P26" s="87">
        <v>0</v>
      </c>
      <c r="Q26" s="47">
        <f t="shared" si="3"/>
        <v>0</v>
      </c>
      <c r="R26" s="11"/>
    </row>
    <row r="27" spans="2:18" x14ac:dyDescent="0.35">
      <c r="B27" s="85" t="s">
        <v>38</v>
      </c>
      <c r="C27" s="37">
        <v>139</v>
      </c>
      <c r="D27" s="39">
        <v>0</v>
      </c>
      <c r="E27" s="39">
        <v>0</v>
      </c>
      <c r="F27" s="39">
        <v>0</v>
      </c>
      <c r="G27" s="92">
        <v>0</v>
      </c>
      <c r="H27" s="39">
        <v>0</v>
      </c>
      <c r="I27" s="39">
        <v>0</v>
      </c>
      <c r="J27" s="39">
        <f t="shared" si="6"/>
        <v>0</v>
      </c>
      <c r="K27" s="66" t="str">
        <f t="shared" si="2"/>
        <v>NA</v>
      </c>
      <c r="L27" s="8" t="str">
        <f t="shared" si="7"/>
        <v>Hide</v>
      </c>
      <c r="M27" s="39">
        <v>0</v>
      </c>
      <c r="N27" s="52">
        <v>0</v>
      </c>
      <c r="O27" s="53"/>
      <c r="P27" s="87">
        <v>0</v>
      </c>
      <c r="Q27" s="47">
        <f t="shared" si="3"/>
        <v>0</v>
      </c>
      <c r="R27" s="11"/>
    </row>
    <row r="28" spans="2:18" x14ac:dyDescent="0.35">
      <c r="B28" s="88"/>
      <c r="C28" s="37"/>
      <c r="D28" s="38"/>
      <c r="E28" s="38"/>
      <c r="F28" s="38"/>
      <c r="G28" s="89"/>
      <c r="H28" s="38"/>
      <c r="I28" s="38"/>
      <c r="J28" s="39"/>
      <c r="K28" s="66"/>
      <c r="L28" s="8"/>
      <c r="M28" s="51"/>
      <c r="N28" s="90"/>
      <c r="O28" s="53"/>
      <c r="P28" s="54"/>
      <c r="Q28" s="47"/>
      <c r="R28" s="11"/>
    </row>
    <row r="29" spans="2:18" x14ac:dyDescent="0.35">
      <c r="B29" s="74" t="s">
        <v>39</v>
      </c>
      <c r="C29" s="75">
        <v>140</v>
      </c>
      <c r="D29" s="76">
        <v>439054511</v>
      </c>
      <c r="E29" s="76">
        <v>0</v>
      </c>
      <c r="F29" s="76">
        <v>439054511</v>
      </c>
      <c r="G29" s="77">
        <v>335576938</v>
      </c>
      <c r="H29" s="76">
        <v>0</v>
      </c>
      <c r="I29" s="76">
        <v>335576938</v>
      </c>
      <c r="J29" s="76">
        <f t="shared" ref="D29:J29" si="8">J30+J31</f>
        <v>103477573</v>
      </c>
      <c r="K29" s="78">
        <f t="shared" si="2"/>
        <v>0.30835722388050396</v>
      </c>
      <c r="L29" s="79" t="s">
        <v>20</v>
      </c>
      <c r="M29" s="80">
        <v>335576938</v>
      </c>
      <c r="N29" s="81">
        <v>0</v>
      </c>
      <c r="O29" s="82"/>
      <c r="P29" s="83">
        <v>439054511</v>
      </c>
      <c r="Q29" s="47">
        <f t="shared" si="3"/>
        <v>0</v>
      </c>
      <c r="R29" s="84"/>
    </row>
    <row r="30" spans="2:18" x14ac:dyDescent="0.35">
      <c r="B30" s="85" t="s">
        <v>40</v>
      </c>
      <c r="C30" s="37">
        <v>141</v>
      </c>
      <c r="D30" s="39">
        <v>439054511</v>
      </c>
      <c r="E30" s="39">
        <v>0</v>
      </c>
      <c r="F30" s="39">
        <v>439054511</v>
      </c>
      <c r="G30" s="86">
        <v>335576938</v>
      </c>
      <c r="H30" s="39">
        <v>0</v>
      </c>
      <c r="I30" s="39">
        <v>335576938</v>
      </c>
      <c r="J30" s="39">
        <f>F30-I30</f>
        <v>103477573</v>
      </c>
      <c r="K30" s="66">
        <f t="shared" si="2"/>
        <v>0.30835722388050396</v>
      </c>
      <c r="L30" s="8" t="str">
        <f>IF(AND(D30=0,E30=0,F30=0,I30=0,G30=0),"Hide","Stay")</f>
        <v>Stay</v>
      </c>
      <c r="M30" s="39">
        <v>335576938</v>
      </c>
      <c r="N30" s="52">
        <v>0</v>
      </c>
      <c r="O30" s="53"/>
      <c r="P30" s="87">
        <v>439054511</v>
      </c>
      <c r="Q30" s="47">
        <f>D30-P30</f>
        <v>0</v>
      </c>
      <c r="R30" s="11"/>
    </row>
    <row r="31" spans="2:18" x14ac:dyDescent="0.35">
      <c r="B31" s="85" t="s">
        <v>41</v>
      </c>
      <c r="C31" s="37">
        <v>149</v>
      </c>
      <c r="D31" s="39">
        <v>0</v>
      </c>
      <c r="E31" s="39">
        <v>0</v>
      </c>
      <c r="F31" s="39">
        <v>0</v>
      </c>
      <c r="G31" s="92">
        <v>0</v>
      </c>
      <c r="H31" s="39">
        <v>0</v>
      </c>
      <c r="I31" s="39">
        <v>0</v>
      </c>
      <c r="J31" s="39">
        <f>F31-I31</f>
        <v>0</v>
      </c>
      <c r="K31" s="66" t="str">
        <f t="shared" si="2"/>
        <v>NA</v>
      </c>
      <c r="L31" s="8" t="str">
        <f>IF(AND(D31=0,E31=0,F31=0,I31=0,G31=0),"Hide","Stay")</f>
        <v>Hide</v>
      </c>
      <c r="M31" s="39">
        <v>0</v>
      </c>
      <c r="N31" s="52">
        <v>0</v>
      </c>
      <c r="O31" s="53"/>
      <c r="P31" s="87">
        <v>0</v>
      </c>
      <c r="Q31" s="47">
        <f t="shared" si="3"/>
        <v>0</v>
      </c>
      <c r="R31" s="11"/>
    </row>
    <row r="32" spans="2:18" x14ac:dyDescent="0.35">
      <c r="B32" s="95"/>
      <c r="C32" s="37"/>
      <c r="D32" s="38"/>
      <c r="E32" s="38"/>
      <c r="F32" s="38"/>
      <c r="G32" s="89"/>
      <c r="H32" s="38"/>
      <c r="I32" s="38"/>
      <c r="J32" s="39"/>
      <c r="K32" s="66"/>
      <c r="L32" s="8"/>
      <c r="M32" s="51"/>
      <c r="N32" s="90"/>
      <c r="O32" s="53"/>
      <c r="P32" s="54"/>
      <c r="Q32" s="47"/>
      <c r="R32" s="11"/>
    </row>
    <row r="33" spans="2:18" x14ac:dyDescent="0.35">
      <c r="B33" s="74" t="s">
        <v>42</v>
      </c>
      <c r="C33" s="75">
        <v>150</v>
      </c>
      <c r="D33" s="76">
        <v>246708948</v>
      </c>
      <c r="E33" s="76">
        <v>0</v>
      </c>
      <c r="F33" s="76">
        <v>246708948</v>
      </c>
      <c r="G33" s="77">
        <v>241748183</v>
      </c>
      <c r="H33" s="76">
        <v>0</v>
      </c>
      <c r="I33" s="76">
        <v>241748183</v>
      </c>
      <c r="J33" s="76">
        <f t="shared" ref="D33:J33" si="9">SUM(J34:J38)</f>
        <v>4960765</v>
      </c>
      <c r="K33" s="78">
        <f t="shared" si="2"/>
        <v>2.0520381739539278E-2</v>
      </c>
      <c r="L33" s="79" t="s">
        <v>20</v>
      </c>
      <c r="M33" s="80">
        <v>241748183</v>
      </c>
      <c r="N33" s="81">
        <v>0</v>
      </c>
      <c r="O33" s="82"/>
      <c r="P33" s="83">
        <v>246708948</v>
      </c>
      <c r="Q33" s="47">
        <f t="shared" si="3"/>
        <v>0</v>
      </c>
      <c r="R33" s="84"/>
    </row>
    <row r="34" spans="2:18" x14ac:dyDescent="0.35">
      <c r="B34" s="85" t="s">
        <v>43</v>
      </c>
      <c r="C34" s="37">
        <v>151</v>
      </c>
      <c r="D34" s="39">
        <v>123301727</v>
      </c>
      <c r="E34" s="39">
        <v>0</v>
      </c>
      <c r="F34" s="39">
        <v>123301727</v>
      </c>
      <c r="G34" s="86">
        <v>118340962</v>
      </c>
      <c r="H34" s="39">
        <v>0</v>
      </c>
      <c r="I34" s="39">
        <v>118340962</v>
      </c>
      <c r="J34" s="39">
        <f>F34-I34</f>
        <v>4960765</v>
      </c>
      <c r="K34" s="66">
        <f t="shared" si="2"/>
        <v>4.1919255312458929E-2</v>
      </c>
      <c r="L34" s="8" t="str">
        <f>IF(AND(D34=0,E34=0,F34=0,I34=0,G34=0),"Hide","Stay")</f>
        <v>Stay</v>
      </c>
      <c r="M34" s="39">
        <v>118340962</v>
      </c>
      <c r="N34" s="52">
        <v>0</v>
      </c>
      <c r="O34" s="53"/>
      <c r="P34" s="87">
        <v>123301727</v>
      </c>
      <c r="Q34" s="47">
        <f t="shared" si="3"/>
        <v>0</v>
      </c>
      <c r="R34" s="96"/>
    </row>
    <row r="35" spans="2:18" x14ac:dyDescent="0.35">
      <c r="B35" s="85" t="s">
        <v>44</v>
      </c>
      <c r="C35" s="37">
        <v>152</v>
      </c>
      <c r="D35" s="39">
        <v>0</v>
      </c>
      <c r="E35" s="39">
        <v>0</v>
      </c>
      <c r="F35" s="39">
        <v>0</v>
      </c>
      <c r="G35" s="92">
        <v>0</v>
      </c>
      <c r="H35" s="39">
        <v>0</v>
      </c>
      <c r="I35" s="39">
        <v>0</v>
      </c>
      <c r="J35" s="39">
        <f>F35-I35</f>
        <v>0</v>
      </c>
      <c r="K35" s="66" t="str">
        <f t="shared" si="2"/>
        <v>NA</v>
      </c>
      <c r="L35" s="8" t="str">
        <f>IF(AND(D35=0,E35=0,F35=0,I35=0,G35=0),"Hide","Stay")</f>
        <v>Hide</v>
      </c>
      <c r="M35" s="39">
        <v>0</v>
      </c>
      <c r="N35" s="52">
        <v>0</v>
      </c>
      <c r="O35" s="53"/>
      <c r="P35" s="87">
        <v>0</v>
      </c>
      <c r="Q35" s="47">
        <f t="shared" si="3"/>
        <v>0</v>
      </c>
      <c r="R35" s="11"/>
    </row>
    <row r="36" spans="2:18" x14ac:dyDescent="0.35">
      <c r="B36" s="85" t="s">
        <v>45</v>
      </c>
      <c r="C36" s="37">
        <v>153</v>
      </c>
      <c r="D36" s="39">
        <v>123407221</v>
      </c>
      <c r="E36" s="39">
        <v>0</v>
      </c>
      <c r="F36" s="39">
        <v>123407221</v>
      </c>
      <c r="G36" s="92">
        <v>123407221</v>
      </c>
      <c r="H36" s="39">
        <v>0</v>
      </c>
      <c r="I36" s="39">
        <v>123407221</v>
      </c>
      <c r="J36" s="39">
        <f>F36-I36</f>
        <v>0</v>
      </c>
      <c r="K36" s="66">
        <f t="shared" si="2"/>
        <v>0</v>
      </c>
      <c r="L36" s="8" t="str">
        <f>IF(AND(D36=0,E36=0,F36=0,I36=0,G36=0),"Hide","Stay")</f>
        <v>Stay</v>
      </c>
      <c r="M36" s="39">
        <v>123407221</v>
      </c>
      <c r="N36" s="52">
        <v>0</v>
      </c>
      <c r="O36" s="53"/>
      <c r="P36" s="87">
        <v>123407221</v>
      </c>
      <c r="Q36" s="47">
        <f>D36-P36</f>
        <v>0</v>
      </c>
      <c r="R36" s="11"/>
    </row>
    <row r="37" spans="2:18" x14ac:dyDescent="0.35">
      <c r="B37" s="85" t="s">
        <v>46</v>
      </c>
      <c r="C37" s="37">
        <v>154</v>
      </c>
      <c r="D37" s="39">
        <v>0</v>
      </c>
      <c r="E37" s="39">
        <v>0</v>
      </c>
      <c r="F37" s="39">
        <v>0</v>
      </c>
      <c r="G37" s="92">
        <v>0</v>
      </c>
      <c r="H37" s="39">
        <v>0</v>
      </c>
      <c r="I37" s="39">
        <v>0</v>
      </c>
      <c r="J37" s="39">
        <f>F37-I37</f>
        <v>0</v>
      </c>
      <c r="K37" s="66" t="str">
        <f t="shared" si="2"/>
        <v>NA</v>
      </c>
      <c r="L37" s="8" t="str">
        <f>IF(AND(D37=0,E37=0,F37=0,I37=0,G37=0),"Hide","Stay")</f>
        <v>Hide</v>
      </c>
      <c r="M37" s="39">
        <v>0</v>
      </c>
      <c r="N37" s="52">
        <v>0</v>
      </c>
      <c r="O37" s="53"/>
      <c r="P37" s="87">
        <v>0</v>
      </c>
      <c r="Q37" s="47">
        <f t="shared" si="3"/>
        <v>0</v>
      </c>
      <c r="R37" s="11"/>
    </row>
    <row r="38" spans="2:18" x14ac:dyDescent="0.35">
      <c r="B38" s="85" t="s">
        <v>47</v>
      </c>
      <c r="C38" s="37">
        <v>155</v>
      </c>
      <c r="D38" s="39">
        <v>0</v>
      </c>
      <c r="E38" s="39">
        <v>0</v>
      </c>
      <c r="F38" s="39">
        <v>0</v>
      </c>
      <c r="G38" s="86">
        <v>0</v>
      </c>
      <c r="H38" s="39">
        <v>0</v>
      </c>
      <c r="I38" s="39">
        <v>0</v>
      </c>
      <c r="J38" s="39">
        <f>F38-I38</f>
        <v>0</v>
      </c>
      <c r="K38" s="66" t="str">
        <f t="shared" si="2"/>
        <v>NA</v>
      </c>
      <c r="L38" s="8" t="str">
        <f>IF(AND(D38=0,E38=0,F38=0,I38=0,G38=0),"Hide","Stay")</f>
        <v>Hide</v>
      </c>
      <c r="M38" s="39">
        <v>0</v>
      </c>
      <c r="N38" s="52">
        <v>0</v>
      </c>
      <c r="O38" s="53"/>
      <c r="P38" s="87">
        <v>0</v>
      </c>
      <c r="Q38" s="47">
        <f t="shared" si="3"/>
        <v>0</v>
      </c>
      <c r="R38" s="94"/>
    </row>
    <row r="39" spans="2:18" x14ac:dyDescent="0.35">
      <c r="B39" s="97"/>
      <c r="C39" s="57"/>
      <c r="D39" s="64"/>
      <c r="E39" s="64"/>
      <c r="F39" s="64"/>
      <c r="G39" s="72"/>
      <c r="H39" s="71"/>
      <c r="I39" s="71"/>
      <c r="J39" s="39"/>
      <c r="K39" s="41"/>
      <c r="L39" s="8"/>
      <c r="M39" s="98"/>
      <c r="N39" s="99"/>
      <c r="O39" s="100"/>
      <c r="P39" s="70"/>
      <c r="Q39" s="47"/>
      <c r="R39" s="11"/>
    </row>
    <row r="40" spans="2:18" x14ac:dyDescent="0.35">
      <c r="B40" s="63" t="s">
        <v>48</v>
      </c>
      <c r="C40" s="57">
        <v>200</v>
      </c>
      <c r="D40" s="64">
        <v>62199136</v>
      </c>
      <c r="E40" s="64">
        <v>0</v>
      </c>
      <c r="F40" s="64">
        <v>62199136</v>
      </c>
      <c r="G40" s="65">
        <v>42213240</v>
      </c>
      <c r="H40" s="64">
        <v>0</v>
      </c>
      <c r="I40" s="64">
        <v>42213240</v>
      </c>
      <c r="J40" s="64">
        <f t="shared" ref="D40:J40" si="10">J42+J51+J62+J66+J70+J77</f>
        <v>19985896</v>
      </c>
      <c r="K40" s="66">
        <f t="shared" ref="K40:K84" si="11">IF(I40=0,"NA",J40/I40)</f>
        <v>0.47345088886804237</v>
      </c>
      <c r="L40" s="8" t="s">
        <v>20</v>
      </c>
      <c r="M40" s="71">
        <v>42213240</v>
      </c>
      <c r="N40" s="68">
        <v>0</v>
      </c>
      <c r="O40" s="69"/>
      <c r="P40" s="70">
        <v>62199136</v>
      </c>
      <c r="Q40" s="47">
        <f t="shared" si="3"/>
        <v>0</v>
      </c>
      <c r="R40" s="11"/>
    </row>
    <row r="41" spans="2:18" x14ac:dyDescent="0.35">
      <c r="B41" s="63"/>
      <c r="C41" s="57"/>
      <c r="D41" s="64"/>
      <c r="E41" s="64"/>
      <c r="F41" s="64"/>
      <c r="G41" s="72"/>
      <c r="H41" s="71"/>
      <c r="I41" s="71"/>
      <c r="J41" s="71"/>
      <c r="K41" s="66"/>
      <c r="L41" s="8"/>
      <c r="M41" s="67"/>
      <c r="N41" s="68"/>
      <c r="O41" s="69"/>
      <c r="P41" s="70"/>
      <c r="Q41" s="47"/>
      <c r="R41" s="11"/>
    </row>
    <row r="42" spans="2:18" x14ac:dyDescent="0.35">
      <c r="B42" s="74" t="s">
        <v>49</v>
      </c>
      <c r="C42" s="75">
        <v>210</v>
      </c>
      <c r="D42" s="76">
        <v>0</v>
      </c>
      <c r="E42" s="76">
        <v>0</v>
      </c>
      <c r="F42" s="76">
        <v>0</v>
      </c>
      <c r="G42" s="77">
        <v>0</v>
      </c>
      <c r="H42" s="76">
        <v>0</v>
      </c>
      <c r="I42" s="76">
        <v>0</v>
      </c>
      <c r="J42" s="76">
        <f t="shared" ref="E42:J42" si="12">SUM(J43:J49)</f>
        <v>0</v>
      </c>
      <c r="K42" s="78" t="str">
        <f t="shared" si="11"/>
        <v>NA</v>
      </c>
      <c r="L42" s="8" t="s">
        <v>20</v>
      </c>
      <c r="M42" s="80">
        <v>0</v>
      </c>
      <c r="N42" s="81">
        <v>0</v>
      </c>
      <c r="O42" s="82"/>
      <c r="P42" s="83">
        <v>0</v>
      </c>
      <c r="Q42" s="47">
        <f t="shared" si="3"/>
        <v>0</v>
      </c>
      <c r="R42" s="84"/>
    </row>
    <row r="43" spans="2:18" x14ac:dyDescent="0.35">
      <c r="B43" s="85" t="s">
        <v>50</v>
      </c>
      <c r="C43" s="37">
        <v>211</v>
      </c>
      <c r="D43" s="39">
        <v>0</v>
      </c>
      <c r="E43" s="39">
        <v>0</v>
      </c>
      <c r="F43" s="39">
        <v>0</v>
      </c>
      <c r="G43" s="92">
        <v>0</v>
      </c>
      <c r="H43" s="39">
        <v>0</v>
      </c>
      <c r="I43" s="39">
        <v>0</v>
      </c>
      <c r="J43" s="39">
        <f t="shared" ref="J43:J49" si="13">F43-I43</f>
        <v>0</v>
      </c>
      <c r="K43" s="66" t="str">
        <f t="shared" si="11"/>
        <v>NA</v>
      </c>
      <c r="L43" s="8" t="str">
        <f t="shared" ref="L43:L49" si="14">IF(AND(D43=0,E43=0,F43=0,I43=0,G43=0),"Hide","Stay")</f>
        <v>Hide</v>
      </c>
      <c r="M43" s="39">
        <v>0</v>
      </c>
      <c r="N43" s="52">
        <v>0</v>
      </c>
      <c r="O43" s="53"/>
      <c r="P43" s="87">
        <v>0</v>
      </c>
      <c r="Q43" s="47">
        <f t="shared" si="3"/>
        <v>0</v>
      </c>
      <c r="R43" s="11"/>
    </row>
    <row r="44" spans="2:18" x14ac:dyDescent="0.35">
      <c r="B44" s="85" t="s">
        <v>51</v>
      </c>
      <c r="C44" s="37">
        <v>212</v>
      </c>
      <c r="D44" s="39">
        <v>0</v>
      </c>
      <c r="E44" s="39">
        <v>0</v>
      </c>
      <c r="F44" s="39">
        <v>0</v>
      </c>
      <c r="G44" s="92">
        <v>0</v>
      </c>
      <c r="H44" s="39">
        <v>0</v>
      </c>
      <c r="I44" s="39">
        <v>0</v>
      </c>
      <c r="J44" s="39">
        <f t="shared" si="13"/>
        <v>0</v>
      </c>
      <c r="K44" s="66" t="str">
        <f t="shared" si="11"/>
        <v>NA</v>
      </c>
      <c r="L44" s="8" t="str">
        <f t="shared" si="14"/>
        <v>Hide</v>
      </c>
      <c r="M44" s="39">
        <v>0</v>
      </c>
      <c r="N44" s="52">
        <v>0</v>
      </c>
      <c r="O44" s="53"/>
      <c r="P44" s="87">
        <v>0</v>
      </c>
      <c r="Q44" s="47">
        <f t="shared" si="3"/>
        <v>0</v>
      </c>
      <c r="R44" s="11"/>
    </row>
    <row r="45" spans="2:18" x14ac:dyDescent="0.35">
      <c r="B45" s="85" t="s">
        <v>52</v>
      </c>
      <c r="C45" s="37">
        <v>213</v>
      </c>
      <c r="D45" s="39">
        <v>0</v>
      </c>
      <c r="E45" s="39">
        <v>0</v>
      </c>
      <c r="F45" s="39">
        <v>0</v>
      </c>
      <c r="G45" s="92">
        <v>0</v>
      </c>
      <c r="H45" s="39">
        <v>0</v>
      </c>
      <c r="I45" s="39">
        <v>0</v>
      </c>
      <c r="J45" s="39">
        <f t="shared" si="13"/>
        <v>0</v>
      </c>
      <c r="K45" s="66" t="str">
        <f t="shared" si="11"/>
        <v>NA</v>
      </c>
      <c r="L45" s="8" t="str">
        <f t="shared" si="14"/>
        <v>Hide</v>
      </c>
      <c r="M45" s="39">
        <v>0</v>
      </c>
      <c r="N45" s="52">
        <v>0</v>
      </c>
      <c r="O45" s="53"/>
      <c r="P45" s="87">
        <v>0</v>
      </c>
      <c r="Q45" s="47">
        <f t="shared" si="3"/>
        <v>0</v>
      </c>
      <c r="R45" s="11"/>
    </row>
    <row r="46" spans="2:18" x14ac:dyDescent="0.35">
      <c r="B46" s="85" t="s">
        <v>53</v>
      </c>
      <c r="C46" s="37">
        <v>214</v>
      </c>
      <c r="D46" s="39">
        <v>0</v>
      </c>
      <c r="E46" s="39">
        <v>0</v>
      </c>
      <c r="F46" s="39">
        <v>0</v>
      </c>
      <c r="G46" s="92">
        <v>0</v>
      </c>
      <c r="H46" s="39">
        <v>0</v>
      </c>
      <c r="I46" s="39">
        <v>0</v>
      </c>
      <c r="J46" s="39">
        <f t="shared" si="13"/>
        <v>0</v>
      </c>
      <c r="K46" s="66" t="str">
        <f t="shared" si="11"/>
        <v>NA</v>
      </c>
      <c r="L46" s="8" t="str">
        <f t="shared" si="14"/>
        <v>Hide</v>
      </c>
      <c r="M46" s="39">
        <v>0</v>
      </c>
      <c r="N46" s="52">
        <v>0</v>
      </c>
      <c r="O46" s="53"/>
      <c r="P46" s="87">
        <v>0</v>
      </c>
      <c r="Q46" s="47">
        <f t="shared" si="3"/>
        <v>0</v>
      </c>
      <c r="R46" s="11"/>
    </row>
    <row r="47" spans="2:18" x14ac:dyDescent="0.35">
      <c r="B47" s="85" t="s">
        <v>54</v>
      </c>
      <c r="C47" s="37">
        <v>215</v>
      </c>
      <c r="D47" s="39">
        <v>0</v>
      </c>
      <c r="E47" s="39">
        <v>0</v>
      </c>
      <c r="F47" s="39">
        <v>0</v>
      </c>
      <c r="G47" s="92">
        <v>0</v>
      </c>
      <c r="H47" s="39">
        <v>0</v>
      </c>
      <c r="I47" s="39">
        <v>0</v>
      </c>
      <c r="J47" s="39">
        <f t="shared" si="13"/>
        <v>0</v>
      </c>
      <c r="K47" s="66" t="str">
        <f t="shared" si="11"/>
        <v>NA</v>
      </c>
      <c r="L47" s="8" t="str">
        <f t="shared" si="14"/>
        <v>Hide</v>
      </c>
      <c r="M47" s="39">
        <v>0</v>
      </c>
      <c r="N47" s="52">
        <v>0</v>
      </c>
      <c r="O47" s="53"/>
      <c r="P47" s="87">
        <v>0</v>
      </c>
      <c r="Q47" s="47">
        <f t="shared" si="3"/>
        <v>0</v>
      </c>
      <c r="R47" s="11"/>
    </row>
    <row r="48" spans="2:18" x14ac:dyDescent="0.35">
      <c r="B48" s="85" t="s">
        <v>55</v>
      </c>
      <c r="C48" s="37">
        <v>216</v>
      </c>
      <c r="D48" s="39">
        <v>0</v>
      </c>
      <c r="E48" s="39">
        <v>0</v>
      </c>
      <c r="F48" s="39">
        <v>0</v>
      </c>
      <c r="G48" s="92"/>
      <c r="H48" s="39">
        <v>0</v>
      </c>
      <c r="I48" s="39">
        <v>0</v>
      </c>
      <c r="J48" s="39">
        <f t="shared" si="13"/>
        <v>0</v>
      </c>
      <c r="K48" s="66" t="str">
        <f t="shared" si="11"/>
        <v>NA</v>
      </c>
      <c r="L48" s="8" t="str">
        <f t="shared" si="14"/>
        <v>Hide</v>
      </c>
      <c r="M48" s="39">
        <v>0</v>
      </c>
      <c r="N48" s="52">
        <v>0</v>
      </c>
      <c r="O48" s="53"/>
      <c r="P48" s="87"/>
      <c r="Q48" s="47">
        <f t="shared" si="3"/>
        <v>0</v>
      </c>
      <c r="R48" s="94"/>
    </row>
    <row r="49" spans="2:18" x14ac:dyDescent="0.35">
      <c r="B49" s="85" t="s">
        <v>56</v>
      </c>
      <c r="C49" s="37">
        <v>219</v>
      </c>
      <c r="D49" s="39">
        <v>0</v>
      </c>
      <c r="E49" s="39">
        <v>0</v>
      </c>
      <c r="F49" s="39">
        <v>0</v>
      </c>
      <c r="G49" s="92">
        <v>0</v>
      </c>
      <c r="H49" s="39">
        <v>0</v>
      </c>
      <c r="I49" s="39">
        <v>0</v>
      </c>
      <c r="J49" s="39">
        <f t="shared" si="13"/>
        <v>0</v>
      </c>
      <c r="K49" s="66" t="str">
        <f t="shared" si="11"/>
        <v>NA</v>
      </c>
      <c r="L49" s="8" t="str">
        <f t="shared" si="14"/>
        <v>Hide</v>
      </c>
      <c r="M49" s="39">
        <v>0</v>
      </c>
      <c r="N49" s="52">
        <v>0</v>
      </c>
      <c r="O49" s="53"/>
      <c r="P49" s="87">
        <v>0</v>
      </c>
      <c r="Q49" s="47">
        <f t="shared" si="3"/>
        <v>0</v>
      </c>
      <c r="R49" s="11"/>
    </row>
    <row r="50" spans="2:18" x14ac:dyDescent="0.35">
      <c r="B50" s="95"/>
      <c r="C50" s="37"/>
      <c r="D50" s="38"/>
      <c r="E50" s="38"/>
      <c r="F50" s="38"/>
      <c r="G50" s="40"/>
      <c r="H50" s="39"/>
      <c r="I50" s="39"/>
      <c r="J50" s="39"/>
      <c r="K50" s="66"/>
      <c r="L50" s="79"/>
      <c r="M50" s="51"/>
      <c r="N50" s="52"/>
      <c r="O50" s="53"/>
      <c r="P50" s="54"/>
      <c r="Q50" s="47"/>
      <c r="R50" s="11"/>
    </row>
    <row r="51" spans="2:18" x14ac:dyDescent="0.35">
      <c r="B51" s="74" t="s">
        <v>57</v>
      </c>
      <c r="C51" s="75">
        <v>220</v>
      </c>
      <c r="D51" s="76">
        <v>1037642</v>
      </c>
      <c r="E51" s="76">
        <v>0</v>
      </c>
      <c r="F51" s="76">
        <v>1037642</v>
      </c>
      <c r="G51" s="77">
        <v>10867634</v>
      </c>
      <c r="H51" s="76">
        <v>0</v>
      </c>
      <c r="I51" s="76">
        <v>10867634</v>
      </c>
      <c r="J51" s="76">
        <f t="shared" ref="E51:J51" si="15">J52+J55+J58</f>
        <v>-9829992</v>
      </c>
      <c r="K51" s="78">
        <f t="shared" si="11"/>
        <v>-0.90451997187244249</v>
      </c>
      <c r="L51" s="101" t="str">
        <f>IF(AND(D51=0,E51=0,F51=0,I51=0,G51=0),"Hide","Stay")</f>
        <v>Stay</v>
      </c>
      <c r="M51" s="80">
        <v>10867634</v>
      </c>
      <c r="N51" s="52">
        <v>0</v>
      </c>
      <c r="O51" s="53"/>
      <c r="P51" s="83">
        <v>1037642</v>
      </c>
      <c r="Q51" s="47">
        <f t="shared" si="3"/>
        <v>0</v>
      </c>
      <c r="R51" s="84"/>
    </row>
    <row r="52" spans="2:18" x14ac:dyDescent="0.35">
      <c r="B52" s="88" t="s">
        <v>58</v>
      </c>
      <c r="C52" s="37">
        <v>221</v>
      </c>
      <c r="D52" s="38">
        <v>1037642</v>
      </c>
      <c r="E52" s="38">
        <v>0</v>
      </c>
      <c r="F52" s="38">
        <v>1037642</v>
      </c>
      <c r="G52" s="89">
        <v>10867634</v>
      </c>
      <c r="H52" s="38">
        <v>0</v>
      </c>
      <c r="I52" s="39">
        <v>10867634</v>
      </c>
      <c r="J52" s="39">
        <f t="shared" ref="J52:J60" si="16">F52-I52</f>
        <v>-9829992</v>
      </c>
      <c r="K52" s="66">
        <f t="shared" si="11"/>
        <v>-0.90451997187244249</v>
      </c>
      <c r="L52" s="8" t="str">
        <f>L53</f>
        <v>Stay</v>
      </c>
      <c r="M52" s="51">
        <v>10867634</v>
      </c>
      <c r="N52" s="52">
        <v>0</v>
      </c>
      <c r="O52" s="53"/>
      <c r="P52" s="54">
        <v>1037642</v>
      </c>
      <c r="Q52" s="47">
        <f t="shared" si="3"/>
        <v>0</v>
      </c>
      <c r="R52" s="11"/>
    </row>
    <row r="53" spans="2:18" x14ac:dyDescent="0.35">
      <c r="B53" s="102" t="s">
        <v>59</v>
      </c>
      <c r="C53" s="103">
        <v>222</v>
      </c>
      <c r="D53" s="39">
        <v>39320000</v>
      </c>
      <c r="E53" s="39">
        <v>0</v>
      </c>
      <c r="F53" s="39">
        <v>39320000</v>
      </c>
      <c r="G53" s="86">
        <v>39320000</v>
      </c>
      <c r="H53" s="39">
        <v>0</v>
      </c>
      <c r="I53" s="39">
        <v>39320000</v>
      </c>
      <c r="J53" s="104">
        <f t="shared" si="16"/>
        <v>0</v>
      </c>
      <c r="K53" s="66">
        <f t="shared" si="11"/>
        <v>0</v>
      </c>
      <c r="L53" s="8" t="str">
        <f>IF(AND(D53=0,E53=0,F53=0,I53=0,G53=0),"Hide","Stay")</f>
        <v>Stay</v>
      </c>
      <c r="M53" s="39">
        <v>39320000</v>
      </c>
      <c r="N53" s="52">
        <v>0</v>
      </c>
      <c r="O53" s="53"/>
      <c r="P53" s="87">
        <v>39320000</v>
      </c>
      <c r="Q53" s="47">
        <f t="shared" si="3"/>
        <v>0</v>
      </c>
      <c r="R53" s="11"/>
    </row>
    <row r="54" spans="2:18" x14ac:dyDescent="0.35">
      <c r="B54" s="102" t="s">
        <v>60</v>
      </c>
      <c r="C54" s="103">
        <v>223</v>
      </c>
      <c r="D54" s="39">
        <v>-38282358</v>
      </c>
      <c r="E54" s="39">
        <v>0</v>
      </c>
      <c r="F54" s="39">
        <v>-38282358</v>
      </c>
      <c r="G54" s="86">
        <v>-28452366</v>
      </c>
      <c r="H54" s="39">
        <v>0</v>
      </c>
      <c r="I54" s="39">
        <v>-28452366</v>
      </c>
      <c r="J54" s="104">
        <f t="shared" si="16"/>
        <v>-9829992</v>
      </c>
      <c r="K54" s="66">
        <f t="shared" si="11"/>
        <v>0.34548944014005722</v>
      </c>
      <c r="L54" s="8" t="str">
        <f>IF(AND(D54=0,E54=0,F54=0,I54=0,G54=0),"Hide","Stay")</f>
        <v>Stay</v>
      </c>
      <c r="M54" s="39">
        <v>-28452366</v>
      </c>
      <c r="N54" s="52">
        <v>0</v>
      </c>
      <c r="O54" s="53"/>
      <c r="P54" s="87">
        <v>-38282358</v>
      </c>
      <c r="Q54" s="47">
        <f t="shared" si="3"/>
        <v>0</v>
      </c>
      <c r="R54" s="11"/>
    </row>
    <row r="55" spans="2:18" x14ac:dyDescent="0.35">
      <c r="B55" s="88" t="s">
        <v>61</v>
      </c>
      <c r="C55" s="37">
        <v>224</v>
      </c>
      <c r="D55" s="38">
        <v>0</v>
      </c>
      <c r="E55" s="38">
        <v>0</v>
      </c>
      <c r="F55" s="38">
        <v>0</v>
      </c>
      <c r="G55" s="89">
        <v>0</v>
      </c>
      <c r="H55" s="38">
        <v>0</v>
      </c>
      <c r="I55" s="38">
        <v>0</v>
      </c>
      <c r="J55" s="39">
        <f t="shared" si="16"/>
        <v>0</v>
      </c>
      <c r="K55" s="66" t="str">
        <f t="shared" si="11"/>
        <v>NA</v>
      </c>
      <c r="L55" s="8" t="str">
        <f>L56</f>
        <v>Hide</v>
      </c>
      <c r="M55" s="51">
        <v>0</v>
      </c>
      <c r="N55" s="52">
        <v>0</v>
      </c>
      <c r="O55" s="53"/>
      <c r="P55" s="54">
        <v>0</v>
      </c>
      <c r="Q55" s="47">
        <f t="shared" si="3"/>
        <v>0</v>
      </c>
      <c r="R55" s="11"/>
    </row>
    <row r="56" spans="2:18" x14ac:dyDescent="0.35">
      <c r="B56" s="102" t="s">
        <v>59</v>
      </c>
      <c r="C56" s="37">
        <v>225</v>
      </c>
      <c r="D56" s="39">
        <v>0</v>
      </c>
      <c r="E56" s="39">
        <v>0</v>
      </c>
      <c r="F56" s="39">
        <v>0</v>
      </c>
      <c r="G56" s="92">
        <v>0</v>
      </c>
      <c r="H56" s="39">
        <v>0</v>
      </c>
      <c r="I56" s="39">
        <v>0</v>
      </c>
      <c r="J56" s="39">
        <f t="shared" si="16"/>
        <v>0</v>
      </c>
      <c r="K56" s="66" t="str">
        <f t="shared" si="11"/>
        <v>NA</v>
      </c>
      <c r="L56" s="8" t="str">
        <f>IF(AND(D56=0,E56=0,F56=0,I56=0,G56=0),"Hide","Stay")</f>
        <v>Hide</v>
      </c>
      <c r="M56" s="39">
        <v>0</v>
      </c>
      <c r="N56" s="52">
        <v>0</v>
      </c>
      <c r="O56" s="53"/>
      <c r="P56" s="87">
        <v>0</v>
      </c>
      <c r="Q56" s="47">
        <f t="shared" si="3"/>
        <v>0</v>
      </c>
      <c r="R56" s="11"/>
    </row>
    <row r="57" spans="2:18" x14ac:dyDescent="0.35">
      <c r="B57" s="102" t="s">
        <v>60</v>
      </c>
      <c r="C57" s="37">
        <v>226</v>
      </c>
      <c r="D57" s="39">
        <v>0</v>
      </c>
      <c r="E57" s="39">
        <v>0</v>
      </c>
      <c r="F57" s="39">
        <v>0</v>
      </c>
      <c r="G57" s="92">
        <v>0</v>
      </c>
      <c r="H57" s="39">
        <v>0</v>
      </c>
      <c r="I57" s="39">
        <v>0</v>
      </c>
      <c r="J57" s="39">
        <f t="shared" si="16"/>
        <v>0</v>
      </c>
      <c r="K57" s="66" t="str">
        <f t="shared" si="11"/>
        <v>NA</v>
      </c>
      <c r="L57" s="8" t="str">
        <f>IF(AND(D57=0,E57=0,F57=0,I57=0,G57=0),"Hide","Stay")</f>
        <v>Hide</v>
      </c>
      <c r="M57" s="39">
        <v>0</v>
      </c>
      <c r="N57" s="52">
        <v>0</v>
      </c>
      <c r="O57" s="53"/>
      <c r="P57" s="87">
        <v>0</v>
      </c>
      <c r="Q57" s="47">
        <f t="shared" si="3"/>
        <v>0</v>
      </c>
      <c r="R57" s="11"/>
    </row>
    <row r="58" spans="2:18" x14ac:dyDescent="0.35">
      <c r="B58" s="88" t="s">
        <v>62</v>
      </c>
      <c r="C58" s="37">
        <v>227</v>
      </c>
      <c r="D58" s="38">
        <v>0</v>
      </c>
      <c r="E58" s="38">
        <v>0</v>
      </c>
      <c r="F58" s="38">
        <v>0</v>
      </c>
      <c r="G58" s="89">
        <v>0</v>
      </c>
      <c r="H58" s="38">
        <v>0</v>
      </c>
      <c r="I58" s="39">
        <v>0</v>
      </c>
      <c r="J58" s="39">
        <f t="shared" si="16"/>
        <v>0</v>
      </c>
      <c r="K58" s="66" t="str">
        <f t="shared" si="11"/>
        <v>NA</v>
      </c>
      <c r="L58" s="8" t="str">
        <f>L59</f>
        <v>Hide</v>
      </c>
      <c r="M58" s="51">
        <v>0</v>
      </c>
      <c r="N58" s="52">
        <v>0</v>
      </c>
      <c r="O58" s="53"/>
      <c r="P58" s="54">
        <v>0</v>
      </c>
      <c r="Q58" s="47">
        <f t="shared" si="3"/>
        <v>0</v>
      </c>
      <c r="R58" s="11"/>
    </row>
    <row r="59" spans="2:18" x14ac:dyDescent="0.35">
      <c r="B59" s="102" t="s">
        <v>59</v>
      </c>
      <c r="C59" s="103">
        <v>228</v>
      </c>
      <c r="D59" s="39">
        <v>0</v>
      </c>
      <c r="E59" s="39">
        <v>0</v>
      </c>
      <c r="F59" s="39">
        <v>0</v>
      </c>
      <c r="G59" s="86"/>
      <c r="H59" s="39">
        <v>0</v>
      </c>
      <c r="I59" s="39">
        <v>0</v>
      </c>
      <c r="J59" s="104">
        <f t="shared" si="16"/>
        <v>0</v>
      </c>
      <c r="K59" s="66" t="str">
        <f t="shared" si="11"/>
        <v>NA</v>
      </c>
      <c r="L59" s="8" t="str">
        <f>IF(AND(D59=0,E59=0,F59=0,I59=0,G59=0),"Hide","Stay")</f>
        <v>Hide</v>
      </c>
      <c r="M59" s="39">
        <v>0</v>
      </c>
      <c r="N59" s="52">
        <v>0</v>
      </c>
      <c r="O59" s="53"/>
      <c r="P59" s="87">
        <v>0</v>
      </c>
      <c r="Q59" s="47">
        <f t="shared" si="3"/>
        <v>0</v>
      </c>
      <c r="R59" s="11"/>
    </row>
    <row r="60" spans="2:18" x14ac:dyDescent="0.35">
      <c r="B60" s="102" t="s">
        <v>63</v>
      </c>
      <c r="C60" s="103">
        <v>229</v>
      </c>
      <c r="D60" s="39">
        <v>0</v>
      </c>
      <c r="E60" s="39">
        <v>0</v>
      </c>
      <c r="F60" s="39">
        <v>0</v>
      </c>
      <c r="G60" s="86"/>
      <c r="H60" s="39">
        <v>0</v>
      </c>
      <c r="I60" s="39">
        <v>0</v>
      </c>
      <c r="J60" s="104">
        <f t="shared" si="16"/>
        <v>0</v>
      </c>
      <c r="K60" s="66" t="str">
        <f t="shared" si="11"/>
        <v>NA</v>
      </c>
      <c r="L60" s="8" t="str">
        <f>IF(AND(D60=0,E60=0,F60=0,I60=0,G60=0),"Hide","Stay")</f>
        <v>Hide</v>
      </c>
      <c r="M60" s="39">
        <v>0</v>
      </c>
      <c r="N60" s="52">
        <v>0</v>
      </c>
      <c r="O60" s="53"/>
      <c r="P60" s="87">
        <v>0</v>
      </c>
      <c r="Q60" s="47">
        <f t="shared" si="3"/>
        <v>0</v>
      </c>
      <c r="R60" s="11"/>
    </row>
    <row r="61" spans="2:18" x14ac:dyDescent="0.35">
      <c r="B61" s="88"/>
      <c r="C61" s="37"/>
      <c r="D61" s="38"/>
      <c r="E61" s="38"/>
      <c r="F61" s="38"/>
      <c r="G61" s="89"/>
      <c r="H61" s="38"/>
      <c r="I61" s="38"/>
      <c r="J61" s="39"/>
      <c r="K61" s="66"/>
      <c r="L61" s="8"/>
      <c r="M61" s="51"/>
      <c r="N61" s="90"/>
      <c r="O61" s="53"/>
      <c r="P61" s="54"/>
      <c r="Q61" s="47"/>
      <c r="R61" s="11"/>
    </row>
    <row r="62" spans="2:18" x14ac:dyDescent="0.35">
      <c r="B62" s="74" t="s">
        <v>64</v>
      </c>
      <c r="C62" s="75">
        <v>230</v>
      </c>
      <c r="D62" s="76">
        <v>0</v>
      </c>
      <c r="E62" s="76">
        <v>0</v>
      </c>
      <c r="F62" s="76">
        <v>0</v>
      </c>
      <c r="G62" s="77">
        <v>0</v>
      </c>
      <c r="H62" s="76">
        <v>0</v>
      </c>
      <c r="I62" s="76">
        <v>0</v>
      </c>
      <c r="J62" s="76">
        <f t="shared" ref="E62:J62" si="17">J63+J64</f>
        <v>0</v>
      </c>
      <c r="K62" s="78" t="str">
        <f t="shared" si="11"/>
        <v>NA</v>
      </c>
      <c r="L62" s="79" t="s">
        <v>20</v>
      </c>
      <c r="M62" s="80">
        <v>0</v>
      </c>
      <c r="N62" s="52">
        <v>0</v>
      </c>
      <c r="O62" s="53"/>
      <c r="P62" s="83">
        <v>0</v>
      </c>
      <c r="Q62" s="47">
        <f t="shared" si="3"/>
        <v>0</v>
      </c>
      <c r="R62" s="84"/>
    </row>
    <row r="63" spans="2:18" x14ac:dyDescent="0.35">
      <c r="B63" s="88" t="s">
        <v>65</v>
      </c>
      <c r="C63" s="37">
        <v>231</v>
      </c>
      <c r="D63" s="39">
        <v>0</v>
      </c>
      <c r="E63" s="39">
        <v>0</v>
      </c>
      <c r="F63" s="39">
        <v>0</v>
      </c>
      <c r="G63" s="92">
        <v>0</v>
      </c>
      <c r="H63" s="39">
        <v>0</v>
      </c>
      <c r="I63" s="39">
        <v>0</v>
      </c>
      <c r="J63" s="39">
        <f>F63-I63</f>
        <v>0</v>
      </c>
      <c r="K63" s="66" t="str">
        <f t="shared" si="11"/>
        <v>NA</v>
      </c>
      <c r="L63" s="8" t="str">
        <f>IF(AND(D63=0,E63=0,F63=0,I63=0,G63=0),"Hide","Stay")</f>
        <v>Hide</v>
      </c>
      <c r="M63" s="39">
        <v>0</v>
      </c>
      <c r="N63" s="52">
        <v>0</v>
      </c>
      <c r="O63" s="53"/>
      <c r="P63" s="87">
        <v>0</v>
      </c>
      <c r="Q63" s="47">
        <f t="shared" si="3"/>
        <v>0</v>
      </c>
      <c r="R63" s="11"/>
    </row>
    <row r="64" spans="2:18" x14ac:dyDescent="0.35">
      <c r="B64" s="88" t="s">
        <v>66</v>
      </c>
      <c r="C64" s="37">
        <v>232</v>
      </c>
      <c r="D64" s="39">
        <v>0</v>
      </c>
      <c r="E64" s="39">
        <v>0</v>
      </c>
      <c r="F64" s="39">
        <v>0</v>
      </c>
      <c r="G64" s="92">
        <v>0</v>
      </c>
      <c r="H64" s="39">
        <v>0</v>
      </c>
      <c r="I64" s="39">
        <v>0</v>
      </c>
      <c r="J64" s="39">
        <f>F64-I64</f>
        <v>0</v>
      </c>
      <c r="K64" s="66" t="str">
        <f t="shared" si="11"/>
        <v>NA</v>
      </c>
      <c r="L64" s="8" t="str">
        <f>IF(AND(D64=0,E64=0,F64=0,I64=0,G64=0),"Hide","Stay")</f>
        <v>Hide</v>
      </c>
      <c r="M64" s="39">
        <v>0</v>
      </c>
      <c r="N64" s="52">
        <v>0</v>
      </c>
      <c r="O64" s="53"/>
      <c r="P64" s="87">
        <v>0</v>
      </c>
      <c r="Q64" s="47">
        <f t="shared" si="3"/>
        <v>0</v>
      </c>
      <c r="R64" s="11"/>
    </row>
    <row r="65" spans="2:18" x14ac:dyDescent="0.35">
      <c r="B65" s="88"/>
      <c r="C65" s="37"/>
      <c r="D65" s="38"/>
      <c r="E65" s="38"/>
      <c r="F65" s="38"/>
      <c r="G65" s="89"/>
      <c r="H65" s="38"/>
      <c r="I65" s="38"/>
      <c r="J65" s="39"/>
      <c r="K65" s="66"/>
      <c r="L65" s="8"/>
      <c r="M65" s="51"/>
      <c r="N65" s="90"/>
      <c r="O65" s="53"/>
      <c r="P65" s="54"/>
      <c r="Q65" s="47"/>
      <c r="R65" s="11"/>
    </row>
    <row r="66" spans="2:18" x14ac:dyDescent="0.35">
      <c r="B66" s="74" t="s">
        <v>67</v>
      </c>
      <c r="C66" s="57">
        <v>240</v>
      </c>
      <c r="D66" s="64">
        <v>0</v>
      </c>
      <c r="E66" s="64">
        <v>0</v>
      </c>
      <c r="F66" s="64">
        <v>0</v>
      </c>
      <c r="G66" s="65">
        <v>0</v>
      </c>
      <c r="H66" s="64">
        <v>0</v>
      </c>
      <c r="I66" s="64">
        <v>0</v>
      </c>
      <c r="J66" s="64">
        <f t="shared" ref="E66:M66" si="18">SUM(J67:J68)</f>
        <v>0</v>
      </c>
      <c r="K66" s="66">
        <f t="shared" si="18"/>
        <v>0</v>
      </c>
      <c r="L66" s="79" t="s">
        <v>20</v>
      </c>
      <c r="M66" s="51">
        <v>0</v>
      </c>
      <c r="N66" s="90">
        <v>0</v>
      </c>
      <c r="O66" s="53"/>
      <c r="P66" s="70">
        <v>0</v>
      </c>
      <c r="Q66" s="47">
        <f t="shared" si="3"/>
        <v>0</v>
      </c>
      <c r="R66" s="11"/>
    </row>
    <row r="67" spans="2:18" x14ac:dyDescent="0.35">
      <c r="B67" s="105" t="s">
        <v>68</v>
      </c>
      <c r="C67" s="37">
        <v>241</v>
      </c>
      <c r="D67" s="39">
        <v>0</v>
      </c>
      <c r="E67" s="39">
        <v>0</v>
      </c>
      <c r="F67" s="39">
        <v>0</v>
      </c>
      <c r="G67" s="92">
        <v>0</v>
      </c>
      <c r="H67" s="39">
        <v>0</v>
      </c>
      <c r="I67" s="39">
        <v>0</v>
      </c>
      <c r="J67" s="39">
        <f>F67-I67</f>
        <v>0</v>
      </c>
      <c r="K67" s="66" t="str">
        <f t="shared" ref="K67:K68" si="19">IF(I67=0,"NA",J67/I67)</f>
        <v>NA</v>
      </c>
      <c r="L67" s="8" t="str">
        <f>IF(AND(D67=0,E67=0,F67=0,I67=0,G67=0),"Hide","Stay")</f>
        <v>Hide</v>
      </c>
      <c r="M67" s="39">
        <v>0</v>
      </c>
      <c r="N67" s="90">
        <v>0</v>
      </c>
      <c r="O67" s="53"/>
      <c r="P67" s="87">
        <v>0</v>
      </c>
      <c r="Q67" s="47">
        <f t="shared" si="3"/>
        <v>0</v>
      </c>
      <c r="R67" s="11"/>
    </row>
    <row r="68" spans="2:18" x14ac:dyDescent="0.35">
      <c r="B68" s="106" t="s">
        <v>69</v>
      </c>
      <c r="C68" s="37">
        <v>242</v>
      </c>
      <c r="D68" s="39">
        <v>0</v>
      </c>
      <c r="E68" s="39">
        <v>0</v>
      </c>
      <c r="F68" s="39">
        <v>0</v>
      </c>
      <c r="G68" s="92">
        <v>0</v>
      </c>
      <c r="H68" s="39">
        <v>0</v>
      </c>
      <c r="I68" s="39">
        <v>0</v>
      </c>
      <c r="J68" s="39">
        <f>F68-I68</f>
        <v>0</v>
      </c>
      <c r="K68" s="66" t="str">
        <f t="shared" si="19"/>
        <v>NA</v>
      </c>
      <c r="L68" s="8" t="str">
        <f>IF(AND(D68=0,E68=0,F68=0,I68=0,G68=0),"Hide","Stay")</f>
        <v>Hide</v>
      </c>
      <c r="M68" s="39">
        <v>0</v>
      </c>
      <c r="N68" s="90">
        <v>0</v>
      </c>
      <c r="O68" s="53"/>
      <c r="P68" s="87">
        <v>0</v>
      </c>
      <c r="Q68" s="47">
        <f t="shared" si="3"/>
        <v>0</v>
      </c>
      <c r="R68" s="11"/>
    </row>
    <row r="69" spans="2:18" x14ac:dyDescent="0.35">
      <c r="B69" s="88"/>
      <c r="C69" s="37"/>
      <c r="D69" s="38"/>
      <c r="E69" s="38"/>
      <c r="F69" s="38"/>
      <c r="G69" s="89"/>
      <c r="H69" s="38"/>
      <c r="I69" s="38"/>
      <c r="J69" s="39"/>
      <c r="K69" s="66"/>
      <c r="L69" s="8"/>
      <c r="M69" s="51"/>
      <c r="N69" s="90"/>
      <c r="O69" s="53"/>
      <c r="P69" s="54"/>
      <c r="Q69" s="47"/>
      <c r="R69" s="11"/>
    </row>
    <row r="70" spans="2:18" x14ac:dyDescent="0.35">
      <c r="B70" s="74" t="s">
        <v>70</v>
      </c>
      <c r="C70" s="75">
        <v>250</v>
      </c>
      <c r="D70" s="76">
        <v>0</v>
      </c>
      <c r="E70" s="76">
        <v>0</v>
      </c>
      <c r="F70" s="76">
        <v>0</v>
      </c>
      <c r="G70" s="77">
        <v>0</v>
      </c>
      <c r="H70" s="76">
        <v>0</v>
      </c>
      <c r="I70" s="76">
        <v>0</v>
      </c>
      <c r="J70" s="76">
        <f t="shared" ref="E70:M70" si="20">SUM(J71:J75)</f>
        <v>0</v>
      </c>
      <c r="K70" s="107">
        <f t="shared" si="20"/>
        <v>0</v>
      </c>
      <c r="L70" s="79" t="s">
        <v>20</v>
      </c>
      <c r="M70" s="80">
        <v>0</v>
      </c>
      <c r="N70" s="108">
        <v>0</v>
      </c>
      <c r="O70" s="82"/>
      <c r="P70" s="83">
        <v>0</v>
      </c>
      <c r="Q70" s="47">
        <f t="shared" si="3"/>
        <v>0</v>
      </c>
      <c r="R70" s="84"/>
    </row>
    <row r="71" spans="2:18" x14ac:dyDescent="0.35">
      <c r="B71" s="95" t="s">
        <v>71</v>
      </c>
      <c r="C71" s="37">
        <v>251</v>
      </c>
      <c r="D71" s="39">
        <v>0</v>
      </c>
      <c r="E71" s="39">
        <v>0</v>
      </c>
      <c r="F71" s="39">
        <v>0</v>
      </c>
      <c r="G71" s="92">
        <v>0</v>
      </c>
      <c r="H71" s="39">
        <v>0</v>
      </c>
      <c r="I71" s="39">
        <v>0</v>
      </c>
      <c r="J71" s="39">
        <f>F71-I71</f>
        <v>0</v>
      </c>
      <c r="K71" s="66" t="str">
        <f t="shared" si="11"/>
        <v>NA</v>
      </c>
      <c r="L71" s="8" t="str">
        <f>IF(AND(D71=0,E71=0,F71=0,I71=0,G71=0),"Hide","Stay")</f>
        <v>Hide</v>
      </c>
      <c r="M71" s="39">
        <v>0</v>
      </c>
      <c r="N71" s="90">
        <v>0</v>
      </c>
      <c r="O71" s="53"/>
      <c r="P71" s="87">
        <v>0</v>
      </c>
      <c r="Q71" s="47">
        <f t="shared" si="3"/>
        <v>0</v>
      </c>
      <c r="R71" s="11"/>
    </row>
    <row r="72" spans="2:18" ht="15" customHeight="1" x14ac:dyDescent="0.35">
      <c r="B72" s="95" t="s">
        <v>72</v>
      </c>
      <c r="C72" s="37">
        <v>252</v>
      </c>
      <c r="D72" s="39">
        <v>0</v>
      </c>
      <c r="E72" s="39">
        <v>0</v>
      </c>
      <c r="F72" s="39">
        <v>0</v>
      </c>
      <c r="G72" s="92">
        <v>0</v>
      </c>
      <c r="H72" s="39">
        <v>0</v>
      </c>
      <c r="I72" s="39">
        <v>0</v>
      </c>
      <c r="J72" s="39">
        <f>F72-I72</f>
        <v>0</v>
      </c>
      <c r="K72" s="66" t="str">
        <f t="shared" si="11"/>
        <v>NA</v>
      </c>
      <c r="L72" s="8" t="str">
        <f>IF(AND(D72=0,E72=0,F72=0,I72=0,G72=0),"Hide","Stay")</f>
        <v>Hide</v>
      </c>
      <c r="M72" s="39">
        <v>0</v>
      </c>
      <c r="N72" s="90">
        <v>0</v>
      </c>
      <c r="O72" s="53"/>
      <c r="P72" s="87">
        <v>0</v>
      </c>
      <c r="Q72" s="47">
        <f t="shared" si="3"/>
        <v>0</v>
      </c>
      <c r="R72" s="11"/>
    </row>
    <row r="73" spans="2:18" ht="15" customHeight="1" x14ac:dyDescent="0.35">
      <c r="B73" s="95" t="s">
        <v>73</v>
      </c>
      <c r="C73" s="37">
        <v>253</v>
      </c>
      <c r="D73" s="39">
        <v>0</v>
      </c>
      <c r="E73" s="39">
        <v>0</v>
      </c>
      <c r="F73" s="39">
        <v>0</v>
      </c>
      <c r="G73" s="86">
        <v>0</v>
      </c>
      <c r="H73" s="39">
        <v>0</v>
      </c>
      <c r="I73" s="39">
        <v>0</v>
      </c>
      <c r="J73" s="39">
        <f>F73-I73</f>
        <v>0</v>
      </c>
      <c r="K73" s="66" t="str">
        <f t="shared" si="11"/>
        <v>NA</v>
      </c>
      <c r="L73" s="8" t="str">
        <f>IF(AND(D73=0,E73=0,F73=0,I73=0,G73=0),"Hide","Stay")</f>
        <v>Hide</v>
      </c>
      <c r="M73" s="39">
        <v>0</v>
      </c>
      <c r="N73" s="52">
        <v>0</v>
      </c>
      <c r="O73" s="53"/>
      <c r="P73" s="87">
        <v>0</v>
      </c>
      <c r="Q73" s="47">
        <f t="shared" si="3"/>
        <v>0</v>
      </c>
      <c r="R73" s="109"/>
    </row>
    <row r="74" spans="2:18" ht="24" x14ac:dyDescent="0.35">
      <c r="B74" s="95" t="s">
        <v>74</v>
      </c>
      <c r="C74" s="37">
        <v>254</v>
      </c>
      <c r="D74" s="39">
        <v>0</v>
      </c>
      <c r="E74" s="39">
        <v>0</v>
      </c>
      <c r="F74" s="39">
        <v>0</v>
      </c>
      <c r="G74" s="92">
        <v>0</v>
      </c>
      <c r="H74" s="39">
        <v>0</v>
      </c>
      <c r="I74" s="39">
        <v>0</v>
      </c>
      <c r="J74" s="39">
        <f>F74-I74</f>
        <v>0</v>
      </c>
      <c r="K74" s="66" t="str">
        <f t="shared" si="11"/>
        <v>NA</v>
      </c>
      <c r="L74" s="8" t="str">
        <f>IF(AND(D74=0,E74=0,F74=0,I74=0,G74=0),"Hide","Stay")</f>
        <v>Hide</v>
      </c>
      <c r="M74" s="39">
        <v>0</v>
      </c>
      <c r="N74" s="90">
        <v>0</v>
      </c>
      <c r="O74" s="53"/>
      <c r="P74" s="87">
        <v>0</v>
      </c>
      <c r="Q74" s="47">
        <f t="shared" ref="Q74:Q137" si="21">D74-P74</f>
        <v>0</v>
      </c>
      <c r="R74" s="11"/>
    </row>
    <row r="75" spans="2:18" x14ac:dyDescent="0.35">
      <c r="B75" s="95" t="s">
        <v>75</v>
      </c>
      <c r="C75" s="37">
        <v>255</v>
      </c>
      <c r="D75" s="39">
        <v>0</v>
      </c>
      <c r="E75" s="39">
        <v>0</v>
      </c>
      <c r="F75" s="39">
        <v>0</v>
      </c>
      <c r="G75" s="92">
        <v>0</v>
      </c>
      <c r="H75" s="39">
        <v>0</v>
      </c>
      <c r="I75" s="39">
        <v>0</v>
      </c>
      <c r="J75" s="39">
        <f>F75-I75</f>
        <v>0</v>
      </c>
      <c r="K75" s="66" t="str">
        <f t="shared" si="11"/>
        <v>NA</v>
      </c>
      <c r="L75" s="8" t="str">
        <f>IF(AND(D75=0,E75=0,F75=0,I75=0,G75=0),"Hide","Stay")</f>
        <v>Hide</v>
      </c>
      <c r="M75" s="39">
        <v>0</v>
      </c>
      <c r="N75" s="90">
        <v>0</v>
      </c>
      <c r="O75" s="53"/>
      <c r="P75" s="87">
        <v>0</v>
      </c>
      <c r="Q75" s="47">
        <f t="shared" si="21"/>
        <v>0</v>
      </c>
      <c r="R75" s="11"/>
    </row>
    <row r="76" spans="2:18" x14ac:dyDescent="0.35">
      <c r="B76" s="95"/>
      <c r="C76" s="37"/>
      <c r="D76" s="38"/>
      <c r="E76" s="38"/>
      <c r="F76" s="38"/>
      <c r="G76" s="40"/>
      <c r="H76" s="39"/>
      <c r="I76" s="39"/>
      <c r="J76" s="39"/>
      <c r="K76" s="66"/>
      <c r="L76" s="79"/>
      <c r="M76" s="51"/>
      <c r="N76" s="52"/>
      <c r="O76" s="53"/>
      <c r="P76" s="54"/>
      <c r="Q76" s="47"/>
      <c r="R76" s="11"/>
    </row>
    <row r="77" spans="2:18" x14ac:dyDescent="0.35">
      <c r="B77" s="74" t="s">
        <v>76</v>
      </c>
      <c r="C77" s="75">
        <v>260</v>
      </c>
      <c r="D77" s="76">
        <v>61161494</v>
      </c>
      <c r="E77" s="76">
        <v>0</v>
      </c>
      <c r="F77" s="76">
        <v>61161494</v>
      </c>
      <c r="G77" s="77">
        <v>31345606</v>
      </c>
      <c r="H77" s="76">
        <v>0</v>
      </c>
      <c r="I77" s="76">
        <v>31345606</v>
      </c>
      <c r="J77" s="76">
        <f t="shared" ref="E77:J77" si="22">SUM(J78:J82)</f>
        <v>29815888</v>
      </c>
      <c r="K77" s="78">
        <f t="shared" si="11"/>
        <v>0.95119832744659649</v>
      </c>
      <c r="L77" s="79" t="s">
        <v>20</v>
      </c>
      <c r="M77" s="80">
        <v>31345606</v>
      </c>
      <c r="N77" s="81">
        <v>0</v>
      </c>
      <c r="O77" s="82"/>
      <c r="P77" s="83">
        <v>61161494</v>
      </c>
      <c r="Q77" s="47">
        <f t="shared" si="21"/>
        <v>0</v>
      </c>
      <c r="R77" s="84"/>
    </row>
    <row r="78" spans="2:18" x14ac:dyDescent="0.35">
      <c r="B78" s="88" t="s">
        <v>77</v>
      </c>
      <c r="C78" s="37">
        <v>261</v>
      </c>
      <c r="D78" s="39">
        <v>61161494</v>
      </c>
      <c r="E78" s="39">
        <v>0</v>
      </c>
      <c r="F78" s="39">
        <v>61161494</v>
      </c>
      <c r="G78" s="86">
        <v>31345606</v>
      </c>
      <c r="H78" s="39">
        <v>0</v>
      </c>
      <c r="I78" s="39">
        <v>31345606</v>
      </c>
      <c r="J78" s="39">
        <f>F78-I78</f>
        <v>29815888</v>
      </c>
      <c r="K78" s="66">
        <f t="shared" si="11"/>
        <v>0.95119832744659649</v>
      </c>
      <c r="L78" s="8" t="str">
        <f>IF(AND(D78=0,E78=0,F78=0,I78=0,G78=0),"Hide","Stay")</f>
        <v>Stay</v>
      </c>
      <c r="M78" s="39">
        <v>31345606</v>
      </c>
      <c r="N78" s="52">
        <v>0</v>
      </c>
      <c r="O78" s="53"/>
      <c r="P78" s="87">
        <v>61161494</v>
      </c>
      <c r="Q78" s="47">
        <f t="shared" si="21"/>
        <v>0</v>
      </c>
      <c r="R78" s="96"/>
    </row>
    <row r="79" spans="2:18" x14ac:dyDescent="0.35">
      <c r="B79" s="88" t="s">
        <v>78</v>
      </c>
      <c r="C79" s="37">
        <v>262</v>
      </c>
      <c r="D79" s="39">
        <v>0</v>
      </c>
      <c r="E79" s="39">
        <v>0</v>
      </c>
      <c r="F79" s="39">
        <v>0</v>
      </c>
      <c r="G79" s="86">
        <v>0</v>
      </c>
      <c r="H79" s="39">
        <v>0</v>
      </c>
      <c r="I79" s="39">
        <v>0</v>
      </c>
      <c r="J79" s="39">
        <f>F79-I79</f>
        <v>0</v>
      </c>
      <c r="K79" s="66" t="str">
        <f t="shared" si="11"/>
        <v>NA</v>
      </c>
      <c r="L79" s="8" t="str">
        <f>IF(AND(D79=0,E79=0,F79=0,I79=0,G79=0),"Hide","Stay")</f>
        <v>Hide</v>
      </c>
      <c r="M79" s="39">
        <v>0</v>
      </c>
      <c r="N79" s="52">
        <v>0</v>
      </c>
      <c r="O79" s="53"/>
      <c r="P79" s="87">
        <v>0</v>
      </c>
      <c r="Q79" s="47">
        <f t="shared" si="21"/>
        <v>0</v>
      </c>
      <c r="R79" s="11"/>
    </row>
    <row r="80" spans="2:18" x14ac:dyDescent="0.35">
      <c r="B80" s="88" t="s">
        <v>79</v>
      </c>
      <c r="C80" s="37">
        <v>263</v>
      </c>
      <c r="D80" s="39">
        <v>0</v>
      </c>
      <c r="E80" s="39">
        <v>0</v>
      </c>
      <c r="F80" s="39">
        <v>0</v>
      </c>
      <c r="G80" s="86">
        <v>0</v>
      </c>
      <c r="H80" s="39">
        <v>0</v>
      </c>
      <c r="I80" s="39">
        <v>0</v>
      </c>
      <c r="J80" s="39">
        <f>F80-I80</f>
        <v>0</v>
      </c>
      <c r="K80" s="66" t="str">
        <f t="shared" si="11"/>
        <v>NA</v>
      </c>
      <c r="L80" s="8" t="str">
        <f>IF(AND(D80=0,E80=0,F80=0,I80=0,G80=0),"Hide","Stay")</f>
        <v>Hide</v>
      </c>
      <c r="M80" s="39">
        <v>0</v>
      </c>
      <c r="N80" s="52">
        <v>0</v>
      </c>
      <c r="O80" s="53"/>
      <c r="P80" s="87">
        <v>0</v>
      </c>
      <c r="Q80" s="47">
        <f t="shared" si="21"/>
        <v>0</v>
      </c>
      <c r="R80" s="11"/>
    </row>
    <row r="81" spans="2:18" x14ac:dyDescent="0.35">
      <c r="B81" s="88" t="s">
        <v>80</v>
      </c>
      <c r="C81" s="37">
        <v>268</v>
      </c>
      <c r="D81" s="39">
        <v>0</v>
      </c>
      <c r="E81" s="39">
        <v>0</v>
      </c>
      <c r="F81" s="39">
        <v>0</v>
      </c>
      <c r="G81" s="86">
        <v>0</v>
      </c>
      <c r="H81" s="39">
        <v>0</v>
      </c>
      <c r="I81" s="39">
        <v>0</v>
      </c>
      <c r="J81" s="39">
        <f>F81-I81</f>
        <v>0</v>
      </c>
      <c r="K81" s="66" t="str">
        <f t="shared" si="11"/>
        <v>NA</v>
      </c>
      <c r="L81" s="8" t="str">
        <f>IF(AND(D81=0,E81=0,F81=0,I81=0,G81=0),"Hide","Stay")</f>
        <v>Hide</v>
      </c>
      <c r="M81" s="39">
        <v>0</v>
      </c>
      <c r="N81" s="52">
        <v>0</v>
      </c>
      <c r="O81" s="53"/>
      <c r="P81" s="87">
        <v>0</v>
      </c>
      <c r="Q81" s="47">
        <f t="shared" si="21"/>
        <v>0</v>
      </c>
      <c r="R81" s="94"/>
    </row>
    <row r="82" spans="2:18" x14ac:dyDescent="0.35">
      <c r="B82" s="88" t="s">
        <v>81</v>
      </c>
      <c r="C82" s="37">
        <v>269</v>
      </c>
      <c r="D82" s="39">
        <v>0</v>
      </c>
      <c r="E82" s="39">
        <v>0</v>
      </c>
      <c r="F82" s="39">
        <v>0</v>
      </c>
      <c r="G82" s="86">
        <v>0</v>
      </c>
      <c r="H82" s="39">
        <v>0</v>
      </c>
      <c r="I82" s="39">
        <v>0</v>
      </c>
      <c r="J82" s="39">
        <f>F82-I82</f>
        <v>0</v>
      </c>
      <c r="K82" s="66" t="str">
        <f t="shared" si="11"/>
        <v>NA</v>
      </c>
      <c r="L82" s="8" t="str">
        <f>IF(AND(D82=0,E82=0,F82=0,I82=0,G82=0),"Hide","Stay")</f>
        <v>Hide</v>
      </c>
      <c r="M82" s="39">
        <v>0</v>
      </c>
      <c r="N82" s="52">
        <v>0</v>
      </c>
      <c r="O82" s="53"/>
      <c r="P82" s="87">
        <v>0</v>
      </c>
      <c r="Q82" s="47">
        <f t="shared" si="21"/>
        <v>0</v>
      </c>
      <c r="R82" s="11"/>
    </row>
    <row r="83" spans="2:18" x14ac:dyDescent="0.35">
      <c r="B83" s="57"/>
      <c r="C83" s="57"/>
      <c r="D83" s="64"/>
      <c r="E83" s="64"/>
      <c r="F83" s="64"/>
      <c r="G83" s="72"/>
      <c r="H83" s="71"/>
      <c r="I83" s="71"/>
      <c r="J83" s="39"/>
      <c r="K83" s="66"/>
      <c r="L83" s="8"/>
      <c r="M83" s="98"/>
      <c r="N83" s="99"/>
      <c r="O83" s="100"/>
      <c r="P83" s="70"/>
      <c r="Q83" s="47"/>
      <c r="R83" s="11"/>
    </row>
    <row r="84" spans="2:18" x14ac:dyDescent="0.35">
      <c r="B84" s="63" t="s">
        <v>82</v>
      </c>
      <c r="C84" s="57">
        <v>270</v>
      </c>
      <c r="D84" s="64">
        <v>7801974514</v>
      </c>
      <c r="E84" s="64">
        <v>0</v>
      </c>
      <c r="F84" s="64">
        <v>7801974514</v>
      </c>
      <c r="G84" s="65">
        <v>8500779311</v>
      </c>
      <c r="H84" s="64">
        <v>0</v>
      </c>
      <c r="I84" s="64">
        <v>8500779311</v>
      </c>
      <c r="J84" s="64">
        <f t="shared" ref="D84:J84" si="23">J8+J40</f>
        <v>-698804797</v>
      </c>
      <c r="K84" s="66">
        <f t="shared" si="11"/>
        <v>-8.2204792223666751E-2</v>
      </c>
      <c r="L84" s="8" t="s">
        <v>20</v>
      </c>
      <c r="M84" s="67">
        <v>8500779311</v>
      </c>
      <c r="N84" s="68">
        <v>0</v>
      </c>
      <c r="O84" s="69"/>
      <c r="P84" s="70">
        <v>7801974514</v>
      </c>
      <c r="Q84" s="47">
        <f t="shared" si="21"/>
        <v>0</v>
      </c>
      <c r="R84" s="11"/>
    </row>
    <row r="85" spans="2:18" x14ac:dyDescent="0.35">
      <c r="B85" s="97"/>
      <c r="C85" s="37"/>
      <c r="D85" s="38"/>
      <c r="E85" s="38"/>
      <c r="F85" s="38"/>
      <c r="G85" s="40"/>
      <c r="H85" s="39"/>
      <c r="I85" s="39"/>
      <c r="J85" s="39"/>
      <c r="K85" s="41"/>
      <c r="L85" s="8"/>
      <c r="M85" s="51"/>
      <c r="N85" s="52"/>
      <c r="O85" s="53"/>
      <c r="P85" s="54"/>
      <c r="Q85" s="47">
        <f t="shared" si="21"/>
        <v>0</v>
      </c>
      <c r="R85" s="11"/>
    </row>
    <row r="86" spans="2:18" x14ac:dyDescent="0.35">
      <c r="B86" s="63" t="s">
        <v>83</v>
      </c>
      <c r="C86" s="37"/>
      <c r="D86" s="38"/>
      <c r="E86" s="38"/>
      <c r="F86" s="38"/>
      <c r="G86" s="40"/>
      <c r="H86" s="39"/>
      <c r="I86" s="39"/>
      <c r="J86" s="39"/>
      <c r="K86" s="41"/>
      <c r="L86" s="8" t="s">
        <v>20</v>
      </c>
      <c r="M86" s="51"/>
      <c r="N86" s="52"/>
      <c r="O86" s="53"/>
      <c r="P86" s="54"/>
      <c r="Q86" s="47">
        <f t="shared" si="21"/>
        <v>0</v>
      </c>
      <c r="R86" s="11"/>
    </row>
    <row r="87" spans="2:18" x14ac:dyDescent="0.35">
      <c r="B87" s="97"/>
      <c r="C87" s="57"/>
      <c r="D87" s="64"/>
      <c r="E87" s="64"/>
      <c r="F87" s="64"/>
      <c r="G87" s="72"/>
      <c r="H87" s="71"/>
      <c r="I87" s="71"/>
      <c r="J87" s="39"/>
      <c r="K87" s="41"/>
      <c r="L87" s="8"/>
      <c r="M87" s="98"/>
      <c r="N87" s="99"/>
      <c r="O87" s="100"/>
      <c r="P87" s="70"/>
      <c r="Q87" s="47">
        <f t="shared" si="21"/>
        <v>0</v>
      </c>
      <c r="R87" s="11"/>
    </row>
    <row r="88" spans="2:18" x14ac:dyDescent="0.35">
      <c r="B88" s="63" t="s">
        <v>84</v>
      </c>
      <c r="C88" s="57">
        <v>300</v>
      </c>
      <c r="D88" s="64">
        <v>1153735395</v>
      </c>
      <c r="E88" s="64">
        <v>0</v>
      </c>
      <c r="F88" s="64">
        <v>1153735395</v>
      </c>
      <c r="G88" s="65">
        <v>931169856</v>
      </c>
      <c r="H88" s="64">
        <v>0</v>
      </c>
      <c r="I88" s="64">
        <v>931169856</v>
      </c>
      <c r="J88" s="64">
        <f t="shared" ref="D88:J88" si="24">J90+J106</f>
        <v>222565539</v>
      </c>
      <c r="K88" s="66">
        <f>IF(I88=0,"NA",J88/I88)</f>
        <v>0.23901712192023536</v>
      </c>
      <c r="L88" s="8" t="str">
        <f>IF(AND(D88=0,E88=0,F88=0,I88=0,G88=0),"Hide","Stay")</f>
        <v>Stay</v>
      </c>
      <c r="M88" s="71">
        <v>931169856</v>
      </c>
      <c r="N88" s="110">
        <v>0</v>
      </c>
      <c r="O88" s="111"/>
      <c r="P88" s="70">
        <v>1153735395</v>
      </c>
      <c r="Q88" s="47">
        <f t="shared" si="21"/>
        <v>0</v>
      </c>
      <c r="R88" s="96"/>
    </row>
    <row r="89" spans="2:18" x14ac:dyDescent="0.35">
      <c r="B89" s="63"/>
      <c r="C89" s="57"/>
      <c r="D89" s="64"/>
      <c r="E89" s="64"/>
      <c r="F89" s="64"/>
      <c r="G89" s="72"/>
      <c r="H89" s="71"/>
      <c r="I89" s="71"/>
      <c r="J89" s="71"/>
      <c r="K89" s="73"/>
      <c r="L89" s="8"/>
      <c r="M89" s="71"/>
      <c r="N89" s="110"/>
      <c r="O89" s="111"/>
      <c r="P89" s="70"/>
      <c r="Q89" s="47">
        <f t="shared" si="21"/>
        <v>0</v>
      </c>
      <c r="R89" s="11"/>
    </row>
    <row r="90" spans="2:18" x14ac:dyDescent="0.35">
      <c r="B90" s="74" t="s">
        <v>85</v>
      </c>
      <c r="C90" s="75">
        <v>310</v>
      </c>
      <c r="D90" s="76">
        <v>1153735395</v>
      </c>
      <c r="E90" s="76">
        <v>0</v>
      </c>
      <c r="F90" s="76">
        <v>1153735395</v>
      </c>
      <c r="G90" s="77">
        <v>931169856</v>
      </c>
      <c r="H90" s="76">
        <v>0</v>
      </c>
      <c r="I90" s="76">
        <v>931169856</v>
      </c>
      <c r="J90" s="76">
        <f t="shared" ref="E90:J90" si="25">SUM(J91:J104)</f>
        <v>222565539</v>
      </c>
      <c r="K90" s="78">
        <f t="shared" ref="K90:K121" si="26">IF(I90=0,"NA",J90/I90)</f>
        <v>0.23901712192023536</v>
      </c>
      <c r="L90" s="79" t="s">
        <v>20</v>
      </c>
      <c r="M90" s="80">
        <v>931169856</v>
      </c>
      <c r="N90" s="81">
        <v>0</v>
      </c>
      <c r="O90" s="82"/>
      <c r="P90" s="83">
        <v>1153735395</v>
      </c>
      <c r="Q90" s="47">
        <f t="shared" si="21"/>
        <v>0</v>
      </c>
      <c r="R90" s="84"/>
    </row>
    <row r="91" spans="2:18" x14ac:dyDescent="0.35">
      <c r="B91" s="88" t="s">
        <v>86</v>
      </c>
      <c r="C91" s="37">
        <v>311</v>
      </c>
      <c r="D91" s="39">
        <v>316791974</v>
      </c>
      <c r="E91" s="39">
        <v>0</v>
      </c>
      <c r="F91" s="39">
        <v>316791974</v>
      </c>
      <c r="G91" s="86">
        <v>396562352</v>
      </c>
      <c r="H91" s="39">
        <v>0</v>
      </c>
      <c r="I91" s="39">
        <v>396562352</v>
      </c>
      <c r="J91" s="39">
        <f t="shared" ref="J91:J104" si="27">F91-I91</f>
        <v>-79770378</v>
      </c>
      <c r="K91" s="66">
        <f t="shared" si="26"/>
        <v>-0.20115469256647944</v>
      </c>
      <c r="L91" s="8" t="str">
        <f t="shared" ref="L91:L104" si="28">IF(AND(D91=0,E91=0,F91=0,I91=0,G91=0),"Hide","Stay")</f>
        <v>Stay</v>
      </c>
      <c r="M91" s="39">
        <v>396562352</v>
      </c>
      <c r="N91" s="52">
        <v>0</v>
      </c>
      <c r="O91" s="53"/>
      <c r="P91" s="87">
        <v>316791974</v>
      </c>
      <c r="Q91" s="47">
        <f t="shared" si="21"/>
        <v>0</v>
      </c>
      <c r="R91" s="20"/>
    </row>
    <row r="92" spans="2:18" x14ac:dyDescent="0.35">
      <c r="B92" s="88" t="s">
        <v>87</v>
      </c>
      <c r="C92" s="37">
        <v>312</v>
      </c>
      <c r="D92" s="39">
        <v>120009600</v>
      </c>
      <c r="E92" s="39">
        <v>0</v>
      </c>
      <c r="F92" s="39">
        <v>120009600</v>
      </c>
      <c r="G92" s="86">
        <v>0</v>
      </c>
      <c r="H92" s="39">
        <v>0</v>
      </c>
      <c r="I92" s="39">
        <v>0</v>
      </c>
      <c r="J92" s="39">
        <f t="shared" si="27"/>
        <v>120009600</v>
      </c>
      <c r="K92" s="66" t="str">
        <f t="shared" si="26"/>
        <v>NA</v>
      </c>
      <c r="L92" s="8" t="str">
        <f t="shared" si="28"/>
        <v>Stay</v>
      </c>
      <c r="M92" s="39">
        <v>0</v>
      </c>
      <c r="N92" s="52">
        <v>0</v>
      </c>
      <c r="O92" s="53"/>
      <c r="P92" s="87">
        <v>120009600</v>
      </c>
      <c r="Q92" s="47">
        <f t="shared" si="21"/>
        <v>0</v>
      </c>
      <c r="R92" s="20"/>
    </row>
    <row r="93" spans="2:18" x14ac:dyDescent="0.35">
      <c r="B93" s="88" t="s">
        <v>88</v>
      </c>
      <c r="C93" s="37">
        <v>313</v>
      </c>
      <c r="D93" s="39">
        <v>460973534</v>
      </c>
      <c r="E93" s="39">
        <v>0</v>
      </c>
      <c r="F93" s="39">
        <v>460973534</v>
      </c>
      <c r="G93" s="92">
        <v>20709338</v>
      </c>
      <c r="H93" s="39">
        <v>0</v>
      </c>
      <c r="I93" s="39">
        <v>20709338</v>
      </c>
      <c r="J93" s="39">
        <f t="shared" si="27"/>
        <v>440264196</v>
      </c>
      <c r="K93" s="66">
        <f t="shared" si="26"/>
        <v>21.259211472621676</v>
      </c>
      <c r="L93" s="8" t="str">
        <f t="shared" si="28"/>
        <v>Stay</v>
      </c>
      <c r="M93" s="39">
        <v>20709338</v>
      </c>
      <c r="N93" s="90">
        <v>0</v>
      </c>
      <c r="O93" s="53"/>
      <c r="P93" s="87">
        <v>460973534</v>
      </c>
      <c r="Q93" s="47">
        <f t="shared" si="21"/>
        <v>0</v>
      </c>
      <c r="R93" s="20"/>
    </row>
    <row r="94" spans="2:18" x14ac:dyDescent="0.35">
      <c r="B94" s="88" t="s">
        <v>89</v>
      </c>
      <c r="C94" s="37">
        <v>314</v>
      </c>
      <c r="D94" s="39">
        <v>37232786</v>
      </c>
      <c r="E94" s="39">
        <v>0</v>
      </c>
      <c r="F94" s="39">
        <v>37232786</v>
      </c>
      <c r="G94" s="86">
        <v>48145085</v>
      </c>
      <c r="H94" s="39">
        <v>0</v>
      </c>
      <c r="I94" s="39">
        <v>48145085</v>
      </c>
      <c r="J94" s="39">
        <f t="shared" si="27"/>
        <v>-10912299</v>
      </c>
      <c r="K94" s="66">
        <f>IF(I94=0,"NA",J94/I94)</f>
        <v>-0.22665447573724296</v>
      </c>
      <c r="L94" s="8" t="str">
        <f t="shared" si="28"/>
        <v>Stay</v>
      </c>
      <c r="M94" s="39">
        <v>48145085</v>
      </c>
      <c r="N94" s="52">
        <v>0</v>
      </c>
      <c r="O94" s="53"/>
      <c r="P94" s="87">
        <v>37232786</v>
      </c>
      <c r="Q94" s="47">
        <f t="shared" si="21"/>
        <v>0</v>
      </c>
      <c r="R94" s="20"/>
    </row>
    <row r="95" spans="2:18" x14ac:dyDescent="0.35">
      <c r="B95" s="88" t="s">
        <v>90</v>
      </c>
      <c r="C95" s="37">
        <v>315</v>
      </c>
      <c r="D95" s="39">
        <v>167202194</v>
      </c>
      <c r="E95" s="39">
        <v>0</v>
      </c>
      <c r="F95" s="39">
        <v>167202194</v>
      </c>
      <c r="G95" s="86">
        <v>419095788</v>
      </c>
      <c r="H95" s="39">
        <v>0</v>
      </c>
      <c r="I95" s="39">
        <v>419095788</v>
      </c>
      <c r="J95" s="39">
        <f t="shared" si="27"/>
        <v>-251893594</v>
      </c>
      <c r="K95" s="66">
        <f t="shared" si="26"/>
        <v>-0.60104062415439974</v>
      </c>
      <c r="L95" s="8" t="str">
        <f t="shared" si="28"/>
        <v>Stay</v>
      </c>
      <c r="M95" s="39">
        <v>419095788</v>
      </c>
      <c r="N95" s="52">
        <v>0</v>
      </c>
      <c r="O95" s="53"/>
      <c r="P95" s="87">
        <v>167202194</v>
      </c>
      <c r="Q95" s="47">
        <f t="shared" si="21"/>
        <v>0</v>
      </c>
      <c r="R95" s="20"/>
    </row>
    <row r="96" spans="2:18" x14ac:dyDescent="0.35">
      <c r="B96" s="88" t="s">
        <v>91</v>
      </c>
      <c r="C96" s="37">
        <v>316</v>
      </c>
      <c r="D96" s="39">
        <v>0</v>
      </c>
      <c r="E96" s="39">
        <v>0</v>
      </c>
      <c r="F96" s="39">
        <v>0</v>
      </c>
      <c r="G96" s="86">
        <v>0</v>
      </c>
      <c r="H96" s="39">
        <v>0</v>
      </c>
      <c r="I96" s="39">
        <v>0</v>
      </c>
      <c r="J96" s="39">
        <f t="shared" si="27"/>
        <v>0</v>
      </c>
      <c r="K96" s="66" t="str">
        <f t="shared" si="26"/>
        <v>NA</v>
      </c>
      <c r="L96" s="8" t="str">
        <f t="shared" si="28"/>
        <v>Hide</v>
      </c>
      <c r="M96" s="39">
        <v>0</v>
      </c>
      <c r="N96" s="52">
        <v>0</v>
      </c>
      <c r="O96" s="53"/>
      <c r="P96" s="87">
        <v>0</v>
      </c>
      <c r="Q96" s="47">
        <f t="shared" si="21"/>
        <v>0</v>
      </c>
      <c r="R96" s="20"/>
    </row>
    <row r="97" spans="2:18" ht="24" x14ac:dyDescent="0.35">
      <c r="B97" s="112" t="s">
        <v>92</v>
      </c>
      <c r="C97" s="37">
        <v>317</v>
      </c>
      <c r="D97" s="39">
        <v>0</v>
      </c>
      <c r="E97" s="39">
        <v>0</v>
      </c>
      <c r="F97" s="39">
        <v>0</v>
      </c>
      <c r="G97" s="92">
        <v>0</v>
      </c>
      <c r="H97" s="39">
        <v>0</v>
      </c>
      <c r="I97" s="39">
        <v>0</v>
      </c>
      <c r="J97" s="39">
        <f t="shared" si="27"/>
        <v>0</v>
      </c>
      <c r="K97" s="66" t="str">
        <f t="shared" si="26"/>
        <v>NA</v>
      </c>
      <c r="L97" s="8" t="str">
        <f t="shared" si="28"/>
        <v>Hide</v>
      </c>
      <c r="M97" s="39">
        <v>0</v>
      </c>
      <c r="N97" s="90">
        <v>0</v>
      </c>
      <c r="O97" s="53"/>
      <c r="P97" s="87">
        <v>0</v>
      </c>
      <c r="Q97" s="47">
        <f t="shared" si="21"/>
        <v>0</v>
      </c>
      <c r="R97" s="20"/>
    </row>
    <row r="98" spans="2:18" x14ac:dyDescent="0.35">
      <c r="B98" s="88" t="s">
        <v>93</v>
      </c>
      <c r="C98" s="37">
        <v>318</v>
      </c>
      <c r="D98" s="39">
        <v>0</v>
      </c>
      <c r="E98" s="39">
        <v>0</v>
      </c>
      <c r="F98" s="39">
        <v>0</v>
      </c>
      <c r="G98" s="92">
        <v>0</v>
      </c>
      <c r="H98" s="39">
        <v>0</v>
      </c>
      <c r="I98" s="39">
        <v>0</v>
      </c>
      <c r="J98" s="39">
        <f t="shared" si="27"/>
        <v>0</v>
      </c>
      <c r="K98" s="66" t="str">
        <f t="shared" si="26"/>
        <v>NA</v>
      </c>
      <c r="L98" s="8" t="str">
        <f t="shared" si="28"/>
        <v>Hide</v>
      </c>
      <c r="M98" s="39">
        <v>0</v>
      </c>
      <c r="N98" s="90">
        <v>0</v>
      </c>
      <c r="O98" s="53"/>
      <c r="P98" s="87">
        <v>0</v>
      </c>
      <c r="Q98" s="47">
        <f t="shared" si="21"/>
        <v>0</v>
      </c>
      <c r="R98" s="20"/>
    </row>
    <row r="99" spans="2:18" x14ac:dyDescent="0.35">
      <c r="B99" s="88" t="s">
        <v>94</v>
      </c>
      <c r="C99" s="37">
        <v>319</v>
      </c>
      <c r="D99" s="39">
        <v>51525307</v>
      </c>
      <c r="E99" s="39">
        <v>0</v>
      </c>
      <c r="F99" s="39">
        <v>51525307</v>
      </c>
      <c r="G99" s="86">
        <v>46657293</v>
      </c>
      <c r="H99" s="39">
        <v>0</v>
      </c>
      <c r="I99" s="39">
        <v>46657293</v>
      </c>
      <c r="J99" s="39">
        <f t="shared" si="27"/>
        <v>4868014</v>
      </c>
      <c r="K99" s="66">
        <f t="shared" si="26"/>
        <v>0.10433554299860474</v>
      </c>
      <c r="L99" s="8" t="str">
        <f t="shared" si="28"/>
        <v>Stay</v>
      </c>
      <c r="M99" s="39">
        <v>46657293</v>
      </c>
      <c r="N99" s="52">
        <v>0</v>
      </c>
      <c r="O99" s="53"/>
      <c r="P99" s="87">
        <v>51525307</v>
      </c>
      <c r="Q99" s="47">
        <f>D99-P99</f>
        <v>0</v>
      </c>
      <c r="R99" s="20"/>
    </row>
    <row r="100" spans="2:18" ht="24" x14ac:dyDescent="0.35">
      <c r="B100" s="112" t="s">
        <v>95</v>
      </c>
      <c r="C100" s="37">
        <v>320</v>
      </c>
      <c r="D100" s="39">
        <v>0</v>
      </c>
      <c r="E100" s="39">
        <v>0</v>
      </c>
      <c r="F100" s="39">
        <v>0</v>
      </c>
      <c r="G100" s="92">
        <v>0</v>
      </c>
      <c r="H100" s="39">
        <v>0</v>
      </c>
      <c r="I100" s="39">
        <v>0</v>
      </c>
      <c r="J100" s="39">
        <f t="shared" si="27"/>
        <v>0</v>
      </c>
      <c r="K100" s="66" t="str">
        <f t="shared" si="26"/>
        <v>NA</v>
      </c>
      <c r="L100" s="8" t="str">
        <f t="shared" si="28"/>
        <v>Hide</v>
      </c>
      <c r="M100" s="39">
        <v>0</v>
      </c>
      <c r="N100" s="90">
        <v>0</v>
      </c>
      <c r="O100" s="53"/>
      <c r="P100" s="87">
        <v>0</v>
      </c>
      <c r="Q100" s="47">
        <f t="shared" si="21"/>
        <v>0</v>
      </c>
      <c r="R100" s="20"/>
    </row>
    <row r="101" spans="2:18" x14ac:dyDescent="0.35">
      <c r="B101" s="88" t="s">
        <v>96</v>
      </c>
      <c r="C101" s="37">
        <v>321</v>
      </c>
      <c r="D101" s="39">
        <v>0</v>
      </c>
      <c r="E101" s="39">
        <v>0</v>
      </c>
      <c r="F101" s="39">
        <v>0</v>
      </c>
      <c r="G101" s="92">
        <v>0</v>
      </c>
      <c r="H101" s="39">
        <v>0</v>
      </c>
      <c r="I101" s="39">
        <v>0</v>
      </c>
      <c r="J101" s="39">
        <f t="shared" si="27"/>
        <v>0</v>
      </c>
      <c r="K101" s="66" t="str">
        <f t="shared" si="26"/>
        <v>NA</v>
      </c>
      <c r="L101" s="8" t="str">
        <f t="shared" si="28"/>
        <v>Hide</v>
      </c>
      <c r="M101" s="39">
        <v>0</v>
      </c>
      <c r="N101" s="90">
        <v>0</v>
      </c>
      <c r="O101" s="53"/>
      <c r="P101" s="87">
        <v>0</v>
      </c>
      <c r="Q101" s="47">
        <f t="shared" si="21"/>
        <v>0</v>
      </c>
      <c r="R101" s="20"/>
    </row>
    <row r="102" spans="2:18" x14ac:dyDescent="0.35">
      <c r="B102" s="88" t="s">
        <v>97</v>
      </c>
      <c r="C102" s="37">
        <v>322</v>
      </c>
      <c r="D102" s="39">
        <v>0</v>
      </c>
      <c r="E102" s="39">
        <v>0</v>
      </c>
      <c r="F102" s="39">
        <v>0</v>
      </c>
      <c r="G102" s="92">
        <v>0</v>
      </c>
      <c r="H102" s="39">
        <v>0</v>
      </c>
      <c r="I102" s="39">
        <v>0</v>
      </c>
      <c r="J102" s="39">
        <f t="shared" si="27"/>
        <v>0</v>
      </c>
      <c r="K102" s="66" t="str">
        <f t="shared" si="26"/>
        <v>NA</v>
      </c>
      <c r="L102" s="8" t="str">
        <f t="shared" si="28"/>
        <v>Hide</v>
      </c>
      <c r="M102" s="39">
        <v>0</v>
      </c>
      <c r="N102" s="90">
        <v>0</v>
      </c>
      <c r="O102" s="53"/>
      <c r="P102" s="87">
        <v>0</v>
      </c>
      <c r="Q102" s="47">
        <f t="shared" si="21"/>
        <v>0</v>
      </c>
      <c r="R102" s="20"/>
    </row>
    <row r="103" spans="2:18" x14ac:dyDescent="0.35">
      <c r="B103" s="88" t="s">
        <v>98</v>
      </c>
      <c r="C103" s="37">
        <v>323</v>
      </c>
      <c r="D103" s="39">
        <v>0</v>
      </c>
      <c r="E103" s="39">
        <v>0</v>
      </c>
      <c r="F103" s="39">
        <v>0</v>
      </c>
      <c r="G103" s="92">
        <v>0</v>
      </c>
      <c r="H103" s="39">
        <v>0</v>
      </c>
      <c r="I103" s="39">
        <v>0</v>
      </c>
      <c r="J103" s="39">
        <f t="shared" si="27"/>
        <v>0</v>
      </c>
      <c r="K103" s="66" t="str">
        <f t="shared" si="26"/>
        <v>NA</v>
      </c>
      <c r="L103" s="8" t="str">
        <f t="shared" si="28"/>
        <v>Hide</v>
      </c>
      <c r="M103" s="39">
        <v>0</v>
      </c>
      <c r="N103" s="90">
        <v>0</v>
      </c>
      <c r="O103" s="53"/>
      <c r="P103" s="87">
        <v>0</v>
      </c>
      <c r="Q103" s="47">
        <f t="shared" si="21"/>
        <v>0</v>
      </c>
      <c r="R103" s="20"/>
    </row>
    <row r="104" spans="2:18" x14ac:dyDescent="0.35">
      <c r="B104" s="88" t="s">
        <v>99</v>
      </c>
      <c r="C104" s="37">
        <v>324</v>
      </c>
      <c r="D104" s="39">
        <v>0</v>
      </c>
      <c r="E104" s="39">
        <v>0</v>
      </c>
      <c r="F104" s="39">
        <v>0</v>
      </c>
      <c r="G104" s="92">
        <v>0</v>
      </c>
      <c r="H104" s="39">
        <v>0</v>
      </c>
      <c r="I104" s="39">
        <v>0</v>
      </c>
      <c r="J104" s="39">
        <f t="shared" si="27"/>
        <v>0</v>
      </c>
      <c r="K104" s="66" t="str">
        <f t="shared" si="26"/>
        <v>NA</v>
      </c>
      <c r="L104" s="8" t="str">
        <f t="shared" si="28"/>
        <v>Hide</v>
      </c>
      <c r="M104" s="39">
        <v>0</v>
      </c>
      <c r="N104" s="90">
        <v>0</v>
      </c>
      <c r="O104" s="53"/>
      <c r="P104" s="87">
        <v>0</v>
      </c>
      <c r="Q104" s="47">
        <f t="shared" si="21"/>
        <v>0</v>
      </c>
      <c r="R104" s="20"/>
    </row>
    <row r="105" spans="2:18" x14ac:dyDescent="0.35">
      <c r="B105" s="88"/>
      <c r="C105" s="37"/>
      <c r="D105" s="38"/>
      <c r="E105" s="38"/>
      <c r="F105" s="38"/>
      <c r="G105" s="89"/>
      <c r="H105" s="38"/>
      <c r="I105" s="38"/>
      <c r="J105" s="39"/>
      <c r="K105" s="66"/>
      <c r="L105" s="8"/>
      <c r="M105" s="51"/>
      <c r="N105" s="90"/>
      <c r="O105" s="53"/>
      <c r="P105" s="54"/>
      <c r="Q105" s="47"/>
      <c r="R105" s="11"/>
    </row>
    <row r="106" spans="2:18" x14ac:dyDescent="0.35">
      <c r="B106" s="74" t="s">
        <v>100</v>
      </c>
      <c r="C106" s="75">
        <v>330</v>
      </c>
      <c r="D106" s="76">
        <v>0</v>
      </c>
      <c r="E106" s="76">
        <v>0</v>
      </c>
      <c r="F106" s="76">
        <v>0</v>
      </c>
      <c r="G106" s="77">
        <v>0</v>
      </c>
      <c r="H106" s="76">
        <v>0</v>
      </c>
      <c r="I106" s="76">
        <v>0</v>
      </c>
      <c r="J106" s="76">
        <f t="shared" ref="E106:J106" si="29">SUM(J107:J119)</f>
        <v>0</v>
      </c>
      <c r="K106" s="78" t="str">
        <f t="shared" si="26"/>
        <v>NA</v>
      </c>
      <c r="L106" s="79" t="s">
        <v>20</v>
      </c>
      <c r="M106" s="80">
        <v>0</v>
      </c>
      <c r="N106" s="81">
        <v>0</v>
      </c>
      <c r="O106" s="82"/>
      <c r="P106" s="83">
        <v>0</v>
      </c>
      <c r="Q106" s="47">
        <f t="shared" si="21"/>
        <v>0</v>
      </c>
      <c r="R106" s="84"/>
    </row>
    <row r="107" spans="2:18" x14ac:dyDescent="0.35">
      <c r="B107" s="95" t="s">
        <v>101</v>
      </c>
      <c r="C107" s="37">
        <v>331</v>
      </c>
      <c r="D107" s="39">
        <v>0</v>
      </c>
      <c r="E107" s="39">
        <v>0</v>
      </c>
      <c r="F107" s="39">
        <v>0</v>
      </c>
      <c r="G107" s="92">
        <v>0</v>
      </c>
      <c r="H107" s="39">
        <v>0</v>
      </c>
      <c r="I107" s="39">
        <v>0</v>
      </c>
      <c r="J107" s="39">
        <f t="shared" ref="J107:J119" si="30">F107-I107</f>
        <v>0</v>
      </c>
      <c r="K107" s="66" t="str">
        <f t="shared" si="26"/>
        <v>NA</v>
      </c>
      <c r="L107" s="8" t="str">
        <f t="shared" ref="L107:L119" si="31">IF(AND(D107=0,E107=0,F107=0,I107=0,G107=0),"Hide","Stay")</f>
        <v>Hide</v>
      </c>
      <c r="M107" s="39">
        <v>0</v>
      </c>
      <c r="N107" s="90">
        <v>0</v>
      </c>
      <c r="O107" s="53"/>
      <c r="P107" s="87">
        <v>0</v>
      </c>
      <c r="Q107" s="47">
        <f t="shared" si="21"/>
        <v>0</v>
      </c>
      <c r="R107" s="20"/>
    </row>
    <row r="108" spans="2:18" x14ac:dyDescent="0.35">
      <c r="B108" s="95" t="s">
        <v>102</v>
      </c>
      <c r="C108" s="37">
        <v>332</v>
      </c>
      <c r="D108" s="39">
        <v>0</v>
      </c>
      <c r="E108" s="39">
        <v>0</v>
      </c>
      <c r="F108" s="39">
        <v>0</v>
      </c>
      <c r="G108" s="92">
        <v>0</v>
      </c>
      <c r="H108" s="39">
        <v>0</v>
      </c>
      <c r="I108" s="39">
        <v>0</v>
      </c>
      <c r="J108" s="39">
        <f t="shared" si="30"/>
        <v>0</v>
      </c>
      <c r="K108" s="66" t="str">
        <f t="shared" si="26"/>
        <v>NA</v>
      </c>
      <c r="L108" s="8" t="str">
        <f t="shared" si="31"/>
        <v>Hide</v>
      </c>
      <c r="M108" s="39">
        <v>0</v>
      </c>
      <c r="N108" s="90">
        <v>0</v>
      </c>
      <c r="O108" s="53"/>
      <c r="P108" s="87">
        <v>0</v>
      </c>
      <c r="Q108" s="47">
        <f t="shared" si="21"/>
        <v>0</v>
      </c>
      <c r="R108" s="20"/>
    </row>
    <row r="109" spans="2:18" x14ac:dyDescent="0.35">
      <c r="B109" s="95" t="s">
        <v>103</v>
      </c>
      <c r="C109" s="37">
        <v>333</v>
      </c>
      <c r="D109" s="39">
        <v>0</v>
      </c>
      <c r="E109" s="39">
        <v>0</v>
      </c>
      <c r="F109" s="39">
        <v>0</v>
      </c>
      <c r="G109" s="92">
        <v>0</v>
      </c>
      <c r="H109" s="39">
        <v>0</v>
      </c>
      <c r="I109" s="39">
        <v>0</v>
      </c>
      <c r="J109" s="39">
        <f t="shared" si="30"/>
        <v>0</v>
      </c>
      <c r="K109" s="66" t="str">
        <f t="shared" si="26"/>
        <v>NA</v>
      </c>
      <c r="L109" s="8" t="str">
        <f t="shared" si="31"/>
        <v>Hide</v>
      </c>
      <c r="M109" s="39">
        <v>0</v>
      </c>
      <c r="N109" s="90">
        <v>0</v>
      </c>
      <c r="O109" s="53"/>
      <c r="P109" s="87">
        <v>0</v>
      </c>
      <c r="Q109" s="47">
        <f t="shared" si="21"/>
        <v>0</v>
      </c>
      <c r="R109" s="20"/>
    </row>
    <row r="110" spans="2:18" ht="24" x14ac:dyDescent="0.35">
      <c r="B110" s="95" t="s">
        <v>104</v>
      </c>
      <c r="C110" s="37">
        <v>334</v>
      </c>
      <c r="D110" s="39">
        <v>0</v>
      </c>
      <c r="E110" s="39">
        <v>0</v>
      </c>
      <c r="F110" s="39">
        <v>0</v>
      </c>
      <c r="G110" s="86">
        <v>0</v>
      </c>
      <c r="H110" s="39">
        <v>0</v>
      </c>
      <c r="I110" s="39">
        <v>0</v>
      </c>
      <c r="J110" s="39">
        <f t="shared" si="30"/>
        <v>0</v>
      </c>
      <c r="K110" s="66" t="str">
        <f t="shared" si="26"/>
        <v>NA</v>
      </c>
      <c r="L110" s="8" t="str">
        <f t="shared" si="31"/>
        <v>Hide</v>
      </c>
      <c r="M110" s="39">
        <v>0</v>
      </c>
      <c r="N110" s="52">
        <v>0</v>
      </c>
      <c r="O110" s="53"/>
      <c r="P110" s="87">
        <v>0</v>
      </c>
      <c r="Q110" s="47">
        <f t="shared" si="21"/>
        <v>0</v>
      </c>
      <c r="R110" s="20"/>
    </row>
    <row r="111" spans="2:18" x14ac:dyDescent="0.35">
      <c r="B111" s="95" t="s">
        <v>105</v>
      </c>
      <c r="C111" s="37">
        <v>335</v>
      </c>
      <c r="D111" s="39">
        <v>0</v>
      </c>
      <c r="E111" s="39">
        <v>0</v>
      </c>
      <c r="F111" s="39">
        <v>0</v>
      </c>
      <c r="G111" s="86">
        <v>0</v>
      </c>
      <c r="H111" s="39">
        <v>0</v>
      </c>
      <c r="I111" s="39">
        <v>0</v>
      </c>
      <c r="J111" s="39">
        <f t="shared" si="30"/>
        <v>0</v>
      </c>
      <c r="K111" s="66" t="str">
        <f t="shared" si="26"/>
        <v>NA</v>
      </c>
      <c r="L111" s="8" t="str">
        <f t="shared" si="31"/>
        <v>Hide</v>
      </c>
      <c r="M111" s="39">
        <v>0</v>
      </c>
      <c r="N111" s="52">
        <v>0</v>
      </c>
      <c r="O111" s="53"/>
      <c r="P111" s="87">
        <v>0</v>
      </c>
      <c r="Q111" s="47">
        <f t="shared" si="21"/>
        <v>0</v>
      </c>
      <c r="R111" s="11"/>
    </row>
    <row r="112" spans="2:18" x14ac:dyDescent="0.35">
      <c r="B112" s="95" t="s">
        <v>106</v>
      </c>
      <c r="C112" s="37">
        <v>336</v>
      </c>
      <c r="D112" s="39">
        <v>0</v>
      </c>
      <c r="E112" s="39">
        <v>0</v>
      </c>
      <c r="F112" s="39">
        <v>0</v>
      </c>
      <c r="G112" s="86">
        <v>0</v>
      </c>
      <c r="H112" s="39">
        <v>0</v>
      </c>
      <c r="I112" s="39">
        <v>0</v>
      </c>
      <c r="J112" s="39">
        <f t="shared" si="30"/>
        <v>0</v>
      </c>
      <c r="K112" s="66" t="str">
        <f t="shared" si="26"/>
        <v>NA</v>
      </c>
      <c r="L112" s="8" t="str">
        <f t="shared" si="31"/>
        <v>Hide</v>
      </c>
      <c r="M112" s="39">
        <v>0</v>
      </c>
      <c r="N112" s="52">
        <v>0</v>
      </c>
      <c r="O112" s="53"/>
      <c r="P112" s="87">
        <v>0</v>
      </c>
      <c r="Q112" s="47">
        <f t="shared" si="21"/>
        <v>0</v>
      </c>
      <c r="R112" s="11"/>
    </row>
    <row r="113" spans="2:18" x14ac:dyDescent="0.35">
      <c r="B113" s="95" t="s">
        <v>107</v>
      </c>
      <c r="C113" s="37">
        <v>337</v>
      </c>
      <c r="D113" s="39">
        <v>0</v>
      </c>
      <c r="E113" s="39">
        <v>0</v>
      </c>
      <c r="F113" s="39">
        <v>0</v>
      </c>
      <c r="G113" s="92"/>
      <c r="H113" s="39">
        <v>0</v>
      </c>
      <c r="I113" s="39">
        <v>0</v>
      </c>
      <c r="J113" s="39">
        <f t="shared" si="30"/>
        <v>0</v>
      </c>
      <c r="K113" s="66" t="str">
        <f t="shared" si="26"/>
        <v>NA</v>
      </c>
      <c r="L113" s="8" t="str">
        <f t="shared" si="31"/>
        <v>Hide</v>
      </c>
      <c r="M113" s="39">
        <v>0</v>
      </c>
      <c r="N113" s="90">
        <v>0</v>
      </c>
      <c r="O113" s="53"/>
      <c r="P113" s="87">
        <v>0</v>
      </c>
      <c r="Q113" s="47">
        <f t="shared" si="21"/>
        <v>0</v>
      </c>
      <c r="R113" s="11"/>
    </row>
    <row r="114" spans="2:18" ht="24" x14ac:dyDescent="0.35">
      <c r="B114" s="95" t="s">
        <v>108</v>
      </c>
      <c r="C114" s="37">
        <v>338</v>
      </c>
      <c r="D114" s="39">
        <v>0</v>
      </c>
      <c r="E114" s="39">
        <v>0</v>
      </c>
      <c r="F114" s="39">
        <v>0</v>
      </c>
      <c r="G114" s="92"/>
      <c r="H114" s="39">
        <v>0</v>
      </c>
      <c r="I114" s="39">
        <v>0</v>
      </c>
      <c r="J114" s="39">
        <f t="shared" si="30"/>
        <v>0</v>
      </c>
      <c r="K114" s="66" t="str">
        <f t="shared" si="26"/>
        <v>NA</v>
      </c>
      <c r="L114" s="8" t="str">
        <f t="shared" si="31"/>
        <v>Hide</v>
      </c>
      <c r="M114" s="39">
        <v>0</v>
      </c>
      <c r="N114" s="90">
        <v>0</v>
      </c>
      <c r="O114" s="53"/>
      <c r="P114" s="87">
        <v>0</v>
      </c>
      <c r="Q114" s="47">
        <f t="shared" si="21"/>
        <v>0</v>
      </c>
      <c r="R114" s="11"/>
    </row>
    <row r="115" spans="2:18" x14ac:dyDescent="0.35">
      <c r="B115" s="95" t="s">
        <v>109</v>
      </c>
      <c r="C115" s="37">
        <v>339</v>
      </c>
      <c r="D115" s="39">
        <v>0</v>
      </c>
      <c r="E115" s="39">
        <v>0</v>
      </c>
      <c r="F115" s="39">
        <v>0</v>
      </c>
      <c r="G115" s="92"/>
      <c r="H115" s="39">
        <v>0</v>
      </c>
      <c r="I115" s="39">
        <v>0</v>
      </c>
      <c r="J115" s="39">
        <f t="shared" si="30"/>
        <v>0</v>
      </c>
      <c r="K115" s="66" t="str">
        <f t="shared" si="26"/>
        <v>NA</v>
      </c>
      <c r="L115" s="8" t="str">
        <f t="shared" si="31"/>
        <v>Hide</v>
      </c>
      <c r="M115" s="39">
        <v>0</v>
      </c>
      <c r="N115" s="90">
        <v>0</v>
      </c>
      <c r="O115" s="53"/>
      <c r="P115" s="87">
        <v>0</v>
      </c>
      <c r="Q115" s="47">
        <f t="shared" si="21"/>
        <v>0</v>
      </c>
      <c r="R115" s="11"/>
    </row>
    <row r="116" spans="2:18" x14ac:dyDescent="0.35">
      <c r="B116" s="95" t="s">
        <v>110</v>
      </c>
      <c r="C116" s="37">
        <v>340</v>
      </c>
      <c r="D116" s="39">
        <v>0</v>
      </c>
      <c r="E116" s="39">
        <v>0</v>
      </c>
      <c r="F116" s="39">
        <v>0</v>
      </c>
      <c r="G116" s="92"/>
      <c r="H116" s="39">
        <v>0</v>
      </c>
      <c r="I116" s="39">
        <v>0</v>
      </c>
      <c r="J116" s="39">
        <f t="shared" si="30"/>
        <v>0</v>
      </c>
      <c r="K116" s="66" t="str">
        <f t="shared" si="26"/>
        <v>NA</v>
      </c>
      <c r="L116" s="8" t="str">
        <f t="shared" si="31"/>
        <v>Hide</v>
      </c>
      <c r="M116" s="39">
        <v>0</v>
      </c>
      <c r="N116" s="90">
        <v>0</v>
      </c>
      <c r="O116" s="53"/>
      <c r="P116" s="87">
        <v>0</v>
      </c>
      <c r="Q116" s="47">
        <f t="shared" si="21"/>
        <v>0</v>
      </c>
      <c r="R116" s="11"/>
    </row>
    <row r="117" spans="2:18" x14ac:dyDescent="0.35">
      <c r="B117" s="95" t="s">
        <v>111</v>
      </c>
      <c r="C117" s="37">
        <v>341</v>
      </c>
      <c r="D117" s="39">
        <v>0</v>
      </c>
      <c r="E117" s="39">
        <v>0</v>
      </c>
      <c r="F117" s="39">
        <v>0</v>
      </c>
      <c r="G117" s="92"/>
      <c r="H117" s="39">
        <v>0</v>
      </c>
      <c r="I117" s="39">
        <v>0</v>
      </c>
      <c r="J117" s="39">
        <f t="shared" si="30"/>
        <v>0</v>
      </c>
      <c r="K117" s="66" t="str">
        <f t="shared" si="26"/>
        <v>NA</v>
      </c>
      <c r="L117" s="8" t="str">
        <f t="shared" si="31"/>
        <v>Hide</v>
      </c>
      <c r="M117" s="39">
        <v>0</v>
      </c>
      <c r="N117" s="90">
        <v>0</v>
      </c>
      <c r="O117" s="53"/>
      <c r="P117" s="87">
        <v>0</v>
      </c>
      <c r="Q117" s="47">
        <f t="shared" si="21"/>
        <v>0</v>
      </c>
      <c r="R117" s="11"/>
    </row>
    <row r="118" spans="2:18" x14ac:dyDescent="0.35">
      <c r="B118" s="95" t="s">
        <v>112</v>
      </c>
      <c r="C118" s="37">
        <v>342</v>
      </c>
      <c r="D118" s="39">
        <v>0</v>
      </c>
      <c r="E118" s="39">
        <v>0</v>
      </c>
      <c r="F118" s="39">
        <v>0</v>
      </c>
      <c r="G118" s="92"/>
      <c r="H118" s="39">
        <v>0</v>
      </c>
      <c r="I118" s="39">
        <v>0</v>
      </c>
      <c r="J118" s="39">
        <f t="shared" si="30"/>
        <v>0</v>
      </c>
      <c r="K118" s="66" t="str">
        <f t="shared" si="26"/>
        <v>NA</v>
      </c>
      <c r="L118" s="8" t="str">
        <f t="shared" si="31"/>
        <v>Hide</v>
      </c>
      <c r="M118" s="39">
        <v>0</v>
      </c>
      <c r="N118" s="90">
        <v>0</v>
      </c>
      <c r="O118" s="53"/>
      <c r="P118" s="87">
        <v>0</v>
      </c>
      <c r="Q118" s="47">
        <f t="shared" si="21"/>
        <v>0</v>
      </c>
      <c r="R118" s="11"/>
    </row>
    <row r="119" spans="2:18" ht="24" x14ac:dyDescent="0.35">
      <c r="B119" s="95" t="s">
        <v>113</v>
      </c>
      <c r="C119" s="37">
        <v>343</v>
      </c>
      <c r="D119" s="39">
        <v>0</v>
      </c>
      <c r="E119" s="39">
        <v>0</v>
      </c>
      <c r="F119" s="39">
        <v>0</v>
      </c>
      <c r="G119" s="92">
        <v>0</v>
      </c>
      <c r="H119" s="39">
        <v>0</v>
      </c>
      <c r="I119" s="39">
        <v>0</v>
      </c>
      <c r="J119" s="39">
        <f t="shared" si="30"/>
        <v>0</v>
      </c>
      <c r="K119" s="66" t="str">
        <f t="shared" si="26"/>
        <v>NA</v>
      </c>
      <c r="L119" s="8" t="str">
        <f t="shared" si="31"/>
        <v>Hide</v>
      </c>
      <c r="M119" s="39">
        <v>0</v>
      </c>
      <c r="N119" s="90">
        <v>0</v>
      </c>
      <c r="O119" s="53"/>
      <c r="P119" s="87">
        <v>0</v>
      </c>
      <c r="Q119" s="47">
        <f t="shared" si="21"/>
        <v>0</v>
      </c>
      <c r="R119" s="11"/>
    </row>
    <row r="120" spans="2:18" x14ac:dyDescent="0.35">
      <c r="B120" s="97"/>
      <c r="C120" s="57"/>
      <c r="D120" s="64"/>
      <c r="E120" s="64"/>
      <c r="F120" s="64"/>
      <c r="G120" s="72"/>
      <c r="H120" s="71"/>
      <c r="I120" s="71"/>
      <c r="J120" s="39"/>
      <c r="K120" s="66"/>
      <c r="L120" s="8"/>
      <c r="M120" s="98"/>
      <c r="N120" s="99"/>
      <c r="O120" s="100"/>
      <c r="P120" s="70"/>
      <c r="Q120" s="47"/>
      <c r="R120" s="11"/>
    </row>
    <row r="121" spans="2:18" x14ac:dyDescent="0.35">
      <c r="B121" s="63" t="s">
        <v>114</v>
      </c>
      <c r="C121" s="57">
        <v>400</v>
      </c>
      <c r="D121" s="64">
        <v>6648239119</v>
      </c>
      <c r="E121" s="64">
        <v>0</v>
      </c>
      <c r="F121" s="64">
        <v>6648239119</v>
      </c>
      <c r="G121" s="65">
        <v>7569609455</v>
      </c>
      <c r="H121" s="64">
        <v>0</v>
      </c>
      <c r="I121" s="64">
        <v>7569609455</v>
      </c>
      <c r="J121" s="64">
        <f t="shared" ref="D121:J121" si="32">J123+J142</f>
        <v>-921370336</v>
      </c>
      <c r="K121" s="66">
        <f t="shared" si="26"/>
        <v>-0.12171966618322715</v>
      </c>
      <c r="L121" s="79" t="s">
        <v>20</v>
      </c>
      <c r="M121" s="71">
        <v>7569609455</v>
      </c>
      <c r="N121" s="110">
        <v>0</v>
      </c>
      <c r="O121" s="111"/>
      <c r="P121" s="70">
        <v>6648239119</v>
      </c>
      <c r="Q121" s="47">
        <f t="shared" si="21"/>
        <v>0</v>
      </c>
      <c r="R121" s="11"/>
    </row>
    <row r="122" spans="2:18" x14ac:dyDescent="0.35">
      <c r="B122" s="63"/>
      <c r="C122" s="57"/>
      <c r="D122" s="64"/>
      <c r="E122" s="64"/>
      <c r="F122" s="64"/>
      <c r="G122" s="72"/>
      <c r="H122" s="71"/>
      <c r="I122" s="71"/>
      <c r="J122" s="71"/>
      <c r="K122" s="73"/>
      <c r="L122" s="8"/>
      <c r="M122" s="71"/>
      <c r="N122" s="110"/>
      <c r="O122" s="111"/>
      <c r="P122" s="70"/>
      <c r="Q122" s="47"/>
      <c r="R122" s="11"/>
    </row>
    <row r="123" spans="2:18" x14ac:dyDescent="0.35">
      <c r="B123" s="74" t="s">
        <v>115</v>
      </c>
      <c r="C123" s="75">
        <v>410</v>
      </c>
      <c r="D123" s="76">
        <v>6648239119</v>
      </c>
      <c r="E123" s="76">
        <v>0</v>
      </c>
      <c r="F123" s="76">
        <v>6648239119</v>
      </c>
      <c r="G123" s="77">
        <v>7569609455</v>
      </c>
      <c r="H123" s="76">
        <v>0</v>
      </c>
      <c r="I123" s="76">
        <v>7569609455</v>
      </c>
      <c r="J123" s="76">
        <f>SUM(J125,J127:J136,J139,J140)</f>
        <v>-921370336</v>
      </c>
      <c r="K123" s="113">
        <f t="shared" ref="K123:K144" si="33">IF(I123=0,"NA",J123/I123)</f>
        <v>-0.12171966618322715</v>
      </c>
      <c r="L123" s="79" t="s">
        <v>20</v>
      </c>
      <c r="M123" s="76">
        <v>7569609455</v>
      </c>
      <c r="N123" s="81">
        <v>0</v>
      </c>
      <c r="O123" s="82"/>
      <c r="P123" s="83">
        <v>6648239119</v>
      </c>
      <c r="Q123" s="47">
        <f t="shared" si="21"/>
        <v>0</v>
      </c>
      <c r="R123" s="84"/>
    </row>
    <row r="124" spans="2:18" x14ac:dyDescent="0.35">
      <c r="B124" s="95" t="s">
        <v>116</v>
      </c>
      <c r="C124" s="37">
        <v>411</v>
      </c>
      <c r="D124" s="39">
        <v>13746000000</v>
      </c>
      <c r="E124" s="39">
        <v>0</v>
      </c>
      <c r="F124" s="39">
        <v>13746000000</v>
      </c>
      <c r="G124" s="86">
        <v>13746000000</v>
      </c>
      <c r="H124" s="39">
        <v>0</v>
      </c>
      <c r="I124" s="39">
        <v>13746000000</v>
      </c>
      <c r="J124" s="39">
        <f>F124-I124</f>
        <v>0</v>
      </c>
      <c r="K124" s="66">
        <f t="shared" si="33"/>
        <v>0</v>
      </c>
      <c r="L124" s="8" t="str">
        <f t="shared" ref="L124:L140" si="34">IF(AND(D124=0,E124=0,F124=0,I124=0,G124=0),"Hide","Stay")</f>
        <v>Stay</v>
      </c>
      <c r="M124" s="39">
        <v>13746000000</v>
      </c>
      <c r="N124" s="52">
        <v>0</v>
      </c>
      <c r="O124" s="53"/>
      <c r="P124" s="87">
        <v>13746000000</v>
      </c>
      <c r="Q124" s="47">
        <f t="shared" si="21"/>
        <v>0</v>
      </c>
      <c r="R124" s="11"/>
    </row>
    <row r="125" spans="2:18" ht="24" x14ac:dyDescent="0.35">
      <c r="B125" s="114" t="s">
        <v>117</v>
      </c>
      <c r="C125" s="37" t="s">
        <v>118</v>
      </c>
      <c r="D125" s="39">
        <v>13746000000</v>
      </c>
      <c r="E125" s="39">
        <v>0</v>
      </c>
      <c r="F125" s="39">
        <v>13746000000</v>
      </c>
      <c r="G125" s="86">
        <v>13746000000</v>
      </c>
      <c r="H125" s="39">
        <v>0</v>
      </c>
      <c r="I125" s="39">
        <v>13746000000</v>
      </c>
      <c r="J125" s="39">
        <f>F125-I125</f>
        <v>0</v>
      </c>
      <c r="K125" s="66">
        <f t="shared" si="33"/>
        <v>0</v>
      </c>
      <c r="L125" s="8" t="str">
        <f t="shared" si="34"/>
        <v>Stay</v>
      </c>
      <c r="M125" s="39">
        <v>13746000000</v>
      </c>
      <c r="N125" s="52">
        <v>0</v>
      </c>
      <c r="O125" s="53"/>
      <c r="P125" s="87">
        <v>13746000000</v>
      </c>
      <c r="Q125" s="47">
        <f t="shared" si="21"/>
        <v>0</v>
      </c>
      <c r="R125" s="11"/>
    </row>
    <row r="126" spans="2:18" x14ac:dyDescent="0.35">
      <c r="B126" s="114" t="s">
        <v>119</v>
      </c>
      <c r="C126" s="37" t="s">
        <v>120</v>
      </c>
      <c r="D126" s="39">
        <v>0</v>
      </c>
      <c r="E126" s="39">
        <v>0</v>
      </c>
      <c r="F126" s="39">
        <v>0</v>
      </c>
      <c r="G126" s="86"/>
      <c r="H126" s="39">
        <v>0</v>
      </c>
      <c r="I126" s="39">
        <v>0</v>
      </c>
      <c r="J126" s="39">
        <f t="shared" ref="J126:J135" si="35">F126-I126</f>
        <v>0</v>
      </c>
      <c r="K126" s="66" t="str">
        <f t="shared" si="33"/>
        <v>NA</v>
      </c>
      <c r="L126" s="8" t="str">
        <f t="shared" si="34"/>
        <v>Hide</v>
      </c>
      <c r="M126" s="39">
        <v>0</v>
      </c>
      <c r="N126" s="52">
        <v>0</v>
      </c>
      <c r="O126" s="53"/>
      <c r="P126" s="87">
        <v>0</v>
      </c>
      <c r="Q126" s="47">
        <f t="shared" si="21"/>
        <v>0</v>
      </c>
      <c r="R126" s="11"/>
    </row>
    <row r="127" spans="2:18" x14ac:dyDescent="0.35">
      <c r="B127" s="95" t="s">
        <v>121</v>
      </c>
      <c r="C127" s="37">
        <v>412</v>
      </c>
      <c r="D127" s="39">
        <v>0</v>
      </c>
      <c r="E127" s="39">
        <v>0</v>
      </c>
      <c r="F127" s="39">
        <v>0</v>
      </c>
      <c r="G127" s="92"/>
      <c r="H127" s="39">
        <v>0</v>
      </c>
      <c r="I127" s="39">
        <v>0</v>
      </c>
      <c r="J127" s="39">
        <f t="shared" si="35"/>
        <v>0</v>
      </c>
      <c r="K127" s="66" t="str">
        <f t="shared" si="33"/>
        <v>NA</v>
      </c>
      <c r="L127" s="8" t="str">
        <f t="shared" si="34"/>
        <v>Hide</v>
      </c>
      <c r="M127" s="39">
        <v>0</v>
      </c>
      <c r="N127" s="90">
        <v>0</v>
      </c>
      <c r="O127" s="53"/>
      <c r="P127" s="87">
        <v>0</v>
      </c>
      <c r="Q127" s="47">
        <f t="shared" si="21"/>
        <v>0</v>
      </c>
      <c r="R127" s="11"/>
    </row>
    <row r="128" spans="2:18" x14ac:dyDescent="0.35">
      <c r="B128" s="95" t="s">
        <v>122</v>
      </c>
      <c r="C128" s="37">
        <v>413</v>
      </c>
      <c r="D128" s="39">
        <v>0</v>
      </c>
      <c r="E128" s="39">
        <v>0</v>
      </c>
      <c r="F128" s="39">
        <v>0</v>
      </c>
      <c r="G128" s="92"/>
      <c r="H128" s="39">
        <v>0</v>
      </c>
      <c r="I128" s="39">
        <v>0</v>
      </c>
      <c r="J128" s="39">
        <f t="shared" si="35"/>
        <v>0</v>
      </c>
      <c r="K128" s="66" t="str">
        <f t="shared" si="33"/>
        <v>NA</v>
      </c>
      <c r="L128" s="8" t="str">
        <f t="shared" si="34"/>
        <v>Hide</v>
      </c>
      <c r="M128" s="39">
        <v>0</v>
      </c>
      <c r="N128" s="90">
        <v>0</v>
      </c>
      <c r="O128" s="53"/>
      <c r="P128" s="87">
        <v>0</v>
      </c>
      <c r="Q128" s="47">
        <f t="shared" si="21"/>
        <v>0</v>
      </c>
      <c r="R128" s="11"/>
    </row>
    <row r="129" spans="2:18" x14ac:dyDescent="0.35">
      <c r="B129" s="95" t="s">
        <v>123</v>
      </c>
      <c r="C129" s="37">
        <v>414</v>
      </c>
      <c r="D129" s="39">
        <v>0</v>
      </c>
      <c r="E129" s="39">
        <v>0</v>
      </c>
      <c r="F129" s="39">
        <v>0</v>
      </c>
      <c r="G129" s="92"/>
      <c r="H129" s="39">
        <v>0</v>
      </c>
      <c r="I129" s="39">
        <v>0</v>
      </c>
      <c r="J129" s="39">
        <f t="shared" si="35"/>
        <v>0</v>
      </c>
      <c r="K129" s="66" t="str">
        <f t="shared" si="33"/>
        <v>NA</v>
      </c>
      <c r="L129" s="8" t="str">
        <f t="shared" si="34"/>
        <v>Hide</v>
      </c>
      <c r="M129" s="39">
        <v>0</v>
      </c>
      <c r="N129" s="90">
        <v>0</v>
      </c>
      <c r="O129" s="53"/>
      <c r="P129" s="87">
        <v>0</v>
      </c>
      <c r="Q129" s="47">
        <f t="shared" si="21"/>
        <v>0</v>
      </c>
      <c r="R129" s="11"/>
    </row>
    <row r="130" spans="2:18" x14ac:dyDescent="0.35">
      <c r="B130" s="95" t="s">
        <v>124</v>
      </c>
      <c r="C130" s="37">
        <v>415</v>
      </c>
      <c r="D130" s="39">
        <v>0</v>
      </c>
      <c r="E130" s="39">
        <v>0</v>
      </c>
      <c r="F130" s="39">
        <v>0</v>
      </c>
      <c r="G130" s="86"/>
      <c r="H130" s="39">
        <v>0</v>
      </c>
      <c r="I130" s="39">
        <v>0</v>
      </c>
      <c r="J130" s="39">
        <f t="shared" si="35"/>
        <v>0</v>
      </c>
      <c r="K130" s="66" t="str">
        <f t="shared" si="33"/>
        <v>NA</v>
      </c>
      <c r="L130" s="8" t="str">
        <f t="shared" si="34"/>
        <v>Hide</v>
      </c>
      <c r="M130" s="39">
        <v>0</v>
      </c>
      <c r="N130" s="52">
        <v>0</v>
      </c>
      <c r="O130" s="53"/>
      <c r="P130" s="87">
        <v>0</v>
      </c>
      <c r="Q130" s="47">
        <f t="shared" si="21"/>
        <v>0</v>
      </c>
      <c r="R130" s="11"/>
    </row>
    <row r="131" spans="2:18" x14ac:dyDescent="0.35">
      <c r="B131" s="95" t="s">
        <v>125</v>
      </c>
      <c r="C131" s="37">
        <v>416</v>
      </c>
      <c r="D131" s="39">
        <v>0</v>
      </c>
      <c r="E131" s="39">
        <v>0</v>
      </c>
      <c r="F131" s="39">
        <v>0</v>
      </c>
      <c r="G131" s="92"/>
      <c r="H131" s="39">
        <v>0</v>
      </c>
      <c r="I131" s="39">
        <v>0</v>
      </c>
      <c r="J131" s="39">
        <f t="shared" si="35"/>
        <v>0</v>
      </c>
      <c r="K131" s="66" t="str">
        <f t="shared" si="33"/>
        <v>NA</v>
      </c>
      <c r="L131" s="8" t="str">
        <f t="shared" si="34"/>
        <v>Hide</v>
      </c>
      <c r="M131" s="39">
        <v>0</v>
      </c>
      <c r="N131" s="90">
        <v>0</v>
      </c>
      <c r="O131" s="53"/>
      <c r="P131" s="87">
        <v>0</v>
      </c>
      <c r="Q131" s="47">
        <f t="shared" si="21"/>
        <v>0</v>
      </c>
      <c r="R131" s="11"/>
    </row>
    <row r="132" spans="2:18" x14ac:dyDescent="0.35">
      <c r="B132" s="95" t="s">
        <v>126</v>
      </c>
      <c r="C132" s="37">
        <v>417</v>
      </c>
      <c r="D132" s="39">
        <v>0</v>
      </c>
      <c r="E132" s="39">
        <v>0</v>
      </c>
      <c r="F132" s="39">
        <v>0</v>
      </c>
      <c r="G132" s="92"/>
      <c r="H132" s="39">
        <v>0</v>
      </c>
      <c r="I132" s="39">
        <v>0</v>
      </c>
      <c r="J132" s="39">
        <f t="shared" si="35"/>
        <v>0</v>
      </c>
      <c r="K132" s="66" t="str">
        <f t="shared" si="33"/>
        <v>NA</v>
      </c>
      <c r="L132" s="8" t="str">
        <f t="shared" si="34"/>
        <v>Hide</v>
      </c>
      <c r="M132" s="39">
        <v>0</v>
      </c>
      <c r="N132" s="90">
        <v>0</v>
      </c>
      <c r="O132" s="53"/>
      <c r="P132" s="87">
        <v>0</v>
      </c>
      <c r="Q132" s="47">
        <f t="shared" si="21"/>
        <v>0</v>
      </c>
      <c r="R132" s="11"/>
    </row>
    <row r="133" spans="2:18" x14ac:dyDescent="0.35">
      <c r="B133" s="95" t="s">
        <v>127</v>
      </c>
      <c r="C133" s="37">
        <v>418</v>
      </c>
      <c r="D133" s="39">
        <v>0</v>
      </c>
      <c r="E133" s="39">
        <v>0</v>
      </c>
      <c r="F133" s="39">
        <v>0</v>
      </c>
      <c r="G133" s="92"/>
      <c r="H133" s="39">
        <v>0</v>
      </c>
      <c r="I133" s="39">
        <v>0</v>
      </c>
      <c r="J133" s="39">
        <f t="shared" si="35"/>
        <v>0</v>
      </c>
      <c r="K133" s="66" t="str">
        <f t="shared" si="33"/>
        <v>NA</v>
      </c>
      <c r="L133" s="8" t="str">
        <f t="shared" si="34"/>
        <v>Hide</v>
      </c>
      <c r="M133" s="39">
        <v>0</v>
      </c>
      <c r="N133" s="90">
        <v>0</v>
      </c>
      <c r="O133" s="53"/>
      <c r="P133" s="87">
        <v>0</v>
      </c>
      <c r="Q133" s="47">
        <f t="shared" si="21"/>
        <v>0</v>
      </c>
      <c r="R133" s="11"/>
    </row>
    <row r="134" spans="2:18" x14ac:dyDescent="0.35">
      <c r="B134" s="95" t="s">
        <v>128</v>
      </c>
      <c r="C134" s="37">
        <v>419</v>
      </c>
      <c r="D134" s="39">
        <v>0</v>
      </c>
      <c r="E134" s="39">
        <v>0</v>
      </c>
      <c r="F134" s="39">
        <v>0</v>
      </c>
      <c r="G134" s="92"/>
      <c r="H134" s="39">
        <v>0</v>
      </c>
      <c r="I134" s="39">
        <v>0</v>
      </c>
      <c r="J134" s="39">
        <f t="shared" si="35"/>
        <v>0</v>
      </c>
      <c r="K134" s="66" t="str">
        <f t="shared" si="33"/>
        <v>NA</v>
      </c>
      <c r="L134" s="8" t="str">
        <f t="shared" si="34"/>
        <v>Hide</v>
      </c>
      <c r="M134" s="39">
        <v>0</v>
      </c>
      <c r="N134" s="90">
        <v>0</v>
      </c>
      <c r="O134" s="53"/>
      <c r="P134" s="87">
        <v>0</v>
      </c>
      <c r="Q134" s="47">
        <f t="shared" si="21"/>
        <v>0</v>
      </c>
      <c r="R134" s="11"/>
    </row>
    <row r="135" spans="2:18" x14ac:dyDescent="0.35">
      <c r="B135" s="95" t="s">
        <v>129</v>
      </c>
      <c r="C135" s="37">
        <v>420</v>
      </c>
      <c r="D135" s="39">
        <v>0</v>
      </c>
      <c r="E135" s="39">
        <v>0</v>
      </c>
      <c r="F135" s="39">
        <v>0</v>
      </c>
      <c r="G135" s="92"/>
      <c r="H135" s="39">
        <v>0</v>
      </c>
      <c r="I135" s="39">
        <v>0</v>
      </c>
      <c r="J135" s="39">
        <f t="shared" si="35"/>
        <v>0</v>
      </c>
      <c r="K135" s="66" t="str">
        <f t="shared" si="33"/>
        <v>NA</v>
      </c>
      <c r="L135" s="8" t="str">
        <f t="shared" si="34"/>
        <v>Hide</v>
      </c>
      <c r="M135" s="39">
        <v>0</v>
      </c>
      <c r="N135" s="52">
        <v>0</v>
      </c>
      <c r="O135" s="53"/>
      <c r="P135" s="87">
        <v>0</v>
      </c>
      <c r="Q135" s="47">
        <f t="shared" si="21"/>
        <v>0</v>
      </c>
      <c r="R135" s="11"/>
    </row>
    <row r="136" spans="2:18" x14ac:dyDescent="0.35">
      <c r="B136" s="95" t="s">
        <v>130</v>
      </c>
      <c r="C136" s="37">
        <v>421</v>
      </c>
      <c r="D136" s="39">
        <v>-7097760881</v>
      </c>
      <c r="E136" s="39">
        <v>0</v>
      </c>
      <c r="F136" s="39">
        <v>-7097760881</v>
      </c>
      <c r="G136" s="40">
        <v>-6176390545</v>
      </c>
      <c r="H136" s="39">
        <v>0</v>
      </c>
      <c r="I136" s="39">
        <v>-6176390545</v>
      </c>
      <c r="J136" s="39">
        <f t="shared" ref="E136:J136" si="36">SUM(J137:J138)</f>
        <v>-921370336</v>
      </c>
      <c r="K136" s="66">
        <f t="shared" si="33"/>
        <v>0.14917617810711159</v>
      </c>
      <c r="L136" s="8" t="str">
        <f t="shared" si="34"/>
        <v>Stay</v>
      </c>
      <c r="M136" s="39">
        <v>-6176390545</v>
      </c>
      <c r="N136" s="90">
        <v>0</v>
      </c>
      <c r="O136" s="53"/>
      <c r="P136" s="54">
        <v>-7097760881</v>
      </c>
      <c r="Q136" s="47">
        <f t="shared" si="21"/>
        <v>0</v>
      </c>
      <c r="R136" s="11"/>
    </row>
    <row r="137" spans="2:18" s="119" customFormat="1" ht="25" x14ac:dyDescent="0.35">
      <c r="B137" s="115" t="s">
        <v>131</v>
      </c>
      <c r="C137" s="103" t="s">
        <v>132</v>
      </c>
      <c r="D137" s="104">
        <v>-6176390545</v>
      </c>
      <c r="E137" s="104">
        <v>0</v>
      </c>
      <c r="F137" s="104">
        <v>-6176390545</v>
      </c>
      <c r="G137" s="116">
        <v>-6290591391</v>
      </c>
      <c r="H137" s="39">
        <v>0</v>
      </c>
      <c r="I137" s="39">
        <v>-6290591391</v>
      </c>
      <c r="J137" s="104">
        <f>F137-I137</f>
        <v>114200846</v>
      </c>
      <c r="K137" s="78">
        <f t="shared" si="33"/>
        <v>-1.8154230485131824E-2</v>
      </c>
      <c r="L137" s="79" t="str">
        <f t="shared" si="34"/>
        <v>Stay</v>
      </c>
      <c r="M137" s="104">
        <v>-6290591391</v>
      </c>
      <c r="N137" s="117">
        <v>0</v>
      </c>
      <c r="O137" s="118"/>
      <c r="P137" s="87">
        <v>-6176390545</v>
      </c>
      <c r="Q137" s="47">
        <f t="shared" si="21"/>
        <v>0</v>
      </c>
      <c r="R137" s="84"/>
    </row>
    <row r="138" spans="2:18" s="119" customFormat="1" ht="25" x14ac:dyDescent="0.35">
      <c r="B138" s="115" t="s">
        <v>133</v>
      </c>
      <c r="C138" s="103" t="s">
        <v>134</v>
      </c>
      <c r="D138" s="104">
        <v>-921370336</v>
      </c>
      <c r="E138" s="104">
        <v>0</v>
      </c>
      <c r="F138" s="104">
        <v>-921370336</v>
      </c>
      <c r="G138" s="120">
        <v>114200846</v>
      </c>
      <c r="H138" s="104">
        <v>0</v>
      </c>
      <c r="I138" s="104">
        <v>114200846</v>
      </c>
      <c r="J138" s="104">
        <f>'[1]P&amp;L'!J40</f>
        <v>-1035571182</v>
      </c>
      <c r="K138" s="78">
        <f t="shared" si="33"/>
        <v>-9.0679817030427259</v>
      </c>
      <c r="L138" s="79" t="str">
        <f t="shared" si="34"/>
        <v>Stay</v>
      </c>
      <c r="M138" s="104">
        <v>114200846</v>
      </c>
      <c r="N138" s="117">
        <v>0</v>
      </c>
      <c r="O138" s="118"/>
      <c r="P138" s="104">
        <v>-921370336</v>
      </c>
      <c r="Q138" s="47">
        <f t="shared" ref="Q138:Q147" si="37">D138-P138</f>
        <v>0</v>
      </c>
      <c r="R138" s="84"/>
    </row>
    <row r="139" spans="2:18" x14ac:dyDescent="0.35">
      <c r="B139" s="95" t="s">
        <v>135</v>
      </c>
      <c r="C139" s="37">
        <v>422</v>
      </c>
      <c r="D139" s="39">
        <v>0</v>
      </c>
      <c r="E139" s="39">
        <v>0</v>
      </c>
      <c r="F139" s="39">
        <v>0</v>
      </c>
      <c r="G139" s="92"/>
      <c r="H139" s="39">
        <v>0</v>
      </c>
      <c r="I139" s="39">
        <v>0</v>
      </c>
      <c r="J139" s="39">
        <f>F139-I139</f>
        <v>0</v>
      </c>
      <c r="K139" s="66" t="str">
        <f t="shared" si="33"/>
        <v>NA</v>
      </c>
      <c r="L139" s="8" t="str">
        <f t="shared" si="34"/>
        <v>Hide</v>
      </c>
      <c r="M139" s="39">
        <v>0</v>
      </c>
      <c r="N139" s="90">
        <v>0</v>
      </c>
      <c r="O139" s="53"/>
      <c r="P139" s="87">
        <v>0</v>
      </c>
      <c r="Q139" s="47">
        <f t="shared" si="37"/>
        <v>0</v>
      </c>
      <c r="R139" s="11"/>
    </row>
    <row r="140" spans="2:18" x14ac:dyDescent="0.35">
      <c r="B140" s="95" t="s">
        <v>136</v>
      </c>
      <c r="C140" s="37">
        <v>429</v>
      </c>
      <c r="D140" s="39">
        <v>0</v>
      </c>
      <c r="E140" s="39">
        <v>0</v>
      </c>
      <c r="F140" s="39">
        <v>0</v>
      </c>
      <c r="G140" s="92"/>
      <c r="H140" s="39">
        <v>0</v>
      </c>
      <c r="I140" s="39">
        <v>0</v>
      </c>
      <c r="J140" s="39">
        <f>F140-I140</f>
        <v>0</v>
      </c>
      <c r="K140" s="66" t="str">
        <f t="shared" si="33"/>
        <v>NA</v>
      </c>
      <c r="L140" s="8" t="str">
        <f t="shared" si="34"/>
        <v>Hide</v>
      </c>
      <c r="M140" s="39">
        <v>0</v>
      </c>
      <c r="N140" s="90">
        <v>0</v>
      </c>
      <c r="O140" s="53"/>
      <c r="P140" s="87">
        <v>0</v>
      </c>
      <c r="Q140" s="47">
        <f t="shared" si="37"/>
        <v>0</v>
      </c>
      <c r="R140" s="11"/>
    </row>
    <row r="141" spans="2:18" x14ac:dyDescent="0.35">
      <c r="B141" s="95"/>
      <c r="C141" s="37"/>
      <c r="D141" s="38"/>
      <c r="E141" s="38"/>
      <c r="F141" s="38"/>
      <c r="G141" s="89"/>
      <c r="H141" s="38"/>
      <c r="I141" s="38"/>
      <c r="J141" s="39"/>
      <c r="K141" s="66"/>
      <c r="L141" s="8"/>
      <c r="M141" s="51"/>
      <c r="N141" s="90"/>
      <c r="O141" s="53"/>
      <c r="P141" s="54"/>
      <c r="Q141" s="47"/>
      <c r="R141" s="11"/>
    </row>
    <row r="142" spans="2:18" x14ac:dyDescent="0.35">
      <c r="B142" s="74" t="s">
        <v>137</v>
      </c>
      <c r="C142" s="75">
        <v>430</v>
      </c>
      <c r="D142" s="76">
        <v>0</v>
      </c>
      <c r="E142" s="76">
        <v>0</v>
      </c>
      <c r="F142" s="76">
        <v>0</v>
      </c>
      <c r="G142" s="77">
        <v>0</v>
      </c>
      <c r="H142" s="76">
        <v>0</v>
      </c>
      <c r="I142" s="76">
        <v>0</v>
      </c>
      <c r="J142" s="76">
        <f t="shared" ref="E142:J142" si="38">SUM(J143:J144)</f>
        <v>0</v>
      </c>
      <c r="K142" s="78" t="str">
        <f t="shared" si="33"/>
        <v>NA</v>
      </c>
      <c r="L142" s="79" t="s">
        <v>20</v>
      </c>
      <c r="M142" s="80">
        <v>0</v>
      </c>
      <c r="N142" s="81">
        <v>0</v>
      </c>
      <c r="O142" s="82"/>
      <c r="P142" s="83">
        <v>0</v>
      </c>
      <c r="Q142" s="47">
        <f t="shared" si="37"/>
        <v>0</v>
      </c>
      <c r="R142" s="84"/>
    </row>
    <row r="143" spans="2:18" x14ac:dyDescent="0.35">
      <c r="B143" s="95" t="s">
        <v>138</v>
      </c>
      <c r="C143" s="37">
        <v>431</v>
      </c>
      <c r="D143" s="39">
        <v>0</v>
      </c>
      <c r="E143" s="39">
        <v>0</v>
      </c>
      <c r="F143" s="39">
        <v>0</v>
      </c>
      <c r="G143" s="92"/>
      <c r="H143" s="39">
        <v>0</v>
      </c>
      <c r="I143" s="39">
        <v>0</v>
      </c>
      <c r="J143" s="39">
        <f>F143-I143</f>
        <v>0</v>
      </c>
      <c r="K143" s="66" t="str">
        <f t="shared" si="33"/>
        <v>NA</v>
      </c>
      <c r="L143" s="8" t="str">
        <f>IF(AND(D143=0,E143=0,F143=0,I143=0,G143=0),"Hide","Stay")</f>
        <v>Hide</v>
      </c>
      <c r="M143" s="39">
        <v>0</v>
      </c>
      <c r="N143" s="90">
        <v>0</v>
      </c>
      <c r="O143" s="53"/>
      <c r="P143" s="87">
        <v>0</v>
      </c>
      <c r="Q143" s="47">
        <f t="shared" si="37"/>
        <v>0</v>
      </c>
      <c r="R143" s="11"/>
    </row>
    <row r="144" spans="2:18" x14ac:dyDescent="0.35">
      <c r="B144" s="95" t="s">
        <v>139</v>
      </c>
      <c r="C144" s="37">
        <v>432</v>
      </c>
      <c r="D144" s="39">
        <v>0</v>
      </c>
      <c r="E144" s="39">
        <v>0</v>
      </c>
      <c r="F144" s="39">
        <v>0</v>
      </c>
      <c r="G144" s="92"/>
      <c r="H144" s="39">
        <v>0</v>
      </c>
      <c r="I144" s="39">
        <v>0</v>
      </c>
      <c r="J144" s="39">
        <f>F144-I144</f>
        <v>0</v>
      </c>
      <c r="K144" s="66" t="str">
        <f t="shared" si="33"/>
        <v>NA</v>
      </c>
      <c r="L144" s="8" t="str">
        <f>IF(AND(D144=0,E144=0,F144=0,I144=0,G144=0),"Hide","Stay")</f>
        <v>Hide</v>
      </c>
      <c r="M144" s="39">
        <v>0</v>
      </c>
      <c r="N144" s="90">
        <v>0</v>
      </c>
      <c r="O144" s="53"/>
      <c r="P144" s="87">
        <v>0</v>
      </c>
      <c r="Q144" s="47">
        <f t="shared" si="37"/>
        <v>0</v>
      </c>
      <c r="R144" s="11"/>
    </row>
    <row r="145" spans="2:18" x14ac:dyDescent="0.35">
      <c r="B145" s="57"/>
      <c r="C145" s="57"/>
      <c r="D145" s="64"/>
      <c r="E145" s="64"/>
      <c r="F145" s="64"/>
      <c r="G145" s="72"/>
      <c r="H145" s="71"/>
      <c r="I145" s="71"/>
      <c r="J145" s="39"/>
      <c r="K145" s="41"/>
      <c r="L145" s="8"/>
      <c r="M145" s="98"/>
      <c r="N145" s="99"/>
      <c r="O145" s="100"/>
      <c r="P145" s="70"/>
      <c r="Q145" s="47"/>
      <c r="R145" s="11"/>
    </row>
    <row r="146" spans="2:18" x14ac:dyDescent="0.35">
      <c r="B146" s="121" t="s">
        <v>140</v>
      </c>
      <c r="C146" s="122">
        <v>440</v>
      </c>
      <c r="D146" s="123">
        <v>7801974514</v>
      </c>
      <c r="E146" s="123">
        <v>0</v>
      </c>
      <c r="F146" s="123">
        <v>7801974514</v>
      </c>
      <c r="G146" s="124">
        <v>8500779311</v>
      </c>
      <c r="H146" s="123">
        <v>0</v>
      </c>
      <c r="I146" s="123">
        <v>8500779311</v>
      </c>
      <c r="J146" s="123">
        <f t="shared" ref="D146:J146" si="39">J88+J121</f>
        <v>-698804797</v>
      </c>
      <c r="K146" s="125">
        <f>IF(I146=0,"NA",J146/I146)</f>
        <v>-8.2204792223666751E-2</v>
      </c>
      <c r="L146" s="8" t="str">
        <f>IF(AND(D146=0,E146=0,F146=0,I146=0,G146=0),"Hide","Stay")</f>
        <v>Stay</v>
      </c>
      <c r="M146" s="126">
        <v>8500779311</v>
      </c>
      <c r="N146" s="127">
        <v>0</v>
      </c>
      <c r="O146" s="69"/>
      <c r="P146" s="128">
        <v>7801974514</v>
      </c>
      <c r="Q146" s="47">
        <f t="shared" si="37"/>
        <v>0</v>
      </c>
      <c r="R146" s="11"/>
    </row>
    <row r="147" spans="2:18" x14ac:dyDescent="0.35">
      <c r="G147" s="130"/>
      <c r="H147" s="131"/>
      <c r="I147" s="131"/>
      <c r="L147" s="133"/>
      <c r="N147" s="20"/>
      <c r="O147" s="20"/>
      <c r="Q147" s="136"/>
    </row>
    <row r="148" spans="2:18" x14ac:dyDescent="0.35">
      <c r="B148" s="137" t="s">
        <v>141</v>
      </c>
      <c r="G148" s="130"/>
      <c r="H148" s="131"/>
      <c r="I148" s="131"/>
      <c r="L148" s="133"/>
      <c r="M148" s="138"/>
      <c r="N148" s="139"/>
      <c r="O148" s="140"/>
      <c r="P148" s="141"/>
      <c r="Q148" s="142"/>
    </row>
    <row r="149" spans="2:18" s="147" customFormat="1" x14ac:dyDescent="0.35">
      <c r="B149" s="143" t="s">
        <v>142</v>
      </c>
      <c r="C149" s="143"/>
      <c r="D149" s="144">
        <v>0</v>
      </c>
      <c r="E149" s="145"/>
      <c r="F149" s="145">
        <v>0</v>
      </c>
      <c r="G149" s="144">
        <v>0</v>
      </c>
      <c r="H149" s="145">
        <v>0</v>
      </c>
      <c r="I149" s="145">
        <v>0</v>
      </c>
      <c r="J149" s="145"/>
      <c r="K149" s="146"/>
      <c r="M149" s="148"/>
      <c r="N149" s="139"/>
      <c r="O149" s="140"/>
      <c r="P149" s="149"/>
      <c r="Q149" s="142"/>
    </row>
    <row r="150" spans="2:18" s="147" customFormat="1" x14ac:dyDescent="0.35">
      <c r="B150" s="143" t="s">
        <v>143</v>
      </c>
      <c r="C150" s="143"/>
      <c r="D150" s="144">
        <v>0</v>
      </c>
      <c r="E150" s="145"/>
      <c r="F150" s="145"/>
      <c r="G150" s="144"/>
      <c r="H150" s="145"/>
      <c r="I150" s="145"/>
      <c r="J150" s="145"/>
      <c r="K150" s="146"/>
      <c r="M150" s="148"/>
      <c r="N150" s="139"/>
      <c r="O150" s="140"/>
      <c r="P150" s="149"/>
      <c r="Q150" s="142"/>
    </row>
    <row r="151" spans="2:18" s="152" customFormat="1" x14ac:dyDescent="0.35">
      <c r="B151" s="143" t="s">
        <v>144</v>
      </c>
      <c r="C151" s="150"/>
      <c r="D151" s="145"/>
      <c r="E151" s="145"/>
      <c r="F151" s="145">
        <v>0</v>
      </c>
      <c r="G151" s="144"/>
      <c r="H151" s="145"/>
      <c r="I151" s="145"/>
      <c r="J151" s="145"/>
      <c r="K151" s="151"/>
      <c r="M151" s="20"/>
      <c r="N151" s="20"/>
      <c r="O151" s="20"/>
      <c r="P151" s="136"/>
      <c r="Q151" s="136"/>
    </row>
    <row r="152" spans="2:18" x14ac:dyDescent="0.35">
      <c r="B152" s="153" t="s">
        <v>145</v>
      </c>
      <c r="D152" s="145">
        <v>0</v>
      </c>
      <c r="E152" s="145">
        <v>0</v>
      </c>
      <c r="F152" s="145">
        <v>0</v>
      </c>
      <c r="G152" s="144">
        <v>0</v>
      </c>
      <c r="H152" s="145">
        <v>0</v>
      </c>
      <c r="I152" s="145">
        <v>0</v>
      </c>
      <c r="J152" s="145">
        <f t="shared" ref="E152:J152" si="40">J84-J88-J121</f>
        <v>0</v>
      </c>
    </row>
    <row r="153" spans="2:18" x14ac:dyDescent="0.35">
      <c r="B153" s="153"/>
      <c r="D153" s="145">
        <v>0</v>
      </c>
      <c r="E153" s="145">
        <v>0</v>
      </c>
      <c r="F153" s="145">
        <v>0</v>
      </c>
      <c r="G153" s="144">
        <v>0</v>
      </c>
      <c r="H153" s="145">
        <v>0</v>
      </c>
      <c r="I153" s="145">
        <v>0</v>
      </c>
      <c r="J153" s="145">
        <f t="shared" ref="G153:J153" si="41">J8+J40-J146</f>
        <v>0</v>
      </c>
    </row>
  </sheetData>
  <autoFilter ref="A5:R146" xr:uid="{00000000-0009-0000-0000-00000E000000}"/>
  <mergeCells count="15">
    <mergeCell ref="Q3:Q4"/>
    <mergeCell ref="N148:N150"/>
    <mergeCell ref="Q148:Q150"/>
    <mergeCell ref="H3:H4"/>
    <mergeCell ref="I3:I4"/>
    <mergeCell ref="J3:K3"/>
    <mergeCell ref="M3:M4"/>
    <mergeCell ref="N3:N4"/>
    <mergeCell ref="P3:P4"/>
    <mergeCell ref="B3:B4"/>
    <mergeCell ref="C3:C4"/>
    <mergeCell ref="D3:D4"/>
    <mergeCell ref="E3:E4"/>
    <mergeCell ref="F3:F4"/>
    <mergeCell ref="G3:G4"/>
  </mergeCells>
  <dataValidations count="1">
    <dataValidation allowBlank="1" showInputMessage="1" showErrorMessage="1" promptTitle="Notes:" prompt="Input figures from PY's audited FSs" sqref="G2" xr:uid="{28DBC30D-2CC4-4A2B-BD57-045E1664B744}"/>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BS</vt:lpstr>
      <vt:lpstr>Link_BS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Quang Le | Crowe Vietnam</dc:creator>
  <cp:lastModifiedBy>Hai Quang Le | Crowe Vietnam</cp:lastModifiedBy>
  <dcterms:created xsi:type="dcterms:W3CDTF">2025-11-10T10:17:08Z</dcterms:created>
  <dcterms:modified xsi:type="dcterms:W3CDTF">2025-11-10T10:17:49Z</dcterms:modified>
</cp:coreProperties>
</file>